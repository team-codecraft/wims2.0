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스마트공장-현장혁신활동\"/>
    </mc:Choice>
  </mc:AlternateContent>
  <xr:revisionPtr revIDLastSave="0" documentId="13_ncr:1_{4B1C5D16-1F31-40EC-9306-E3B654E28061}" xr6:coauthVersionLast="47" xr6:coauthVersionMax="47" xr10:uidLastSave="{00000000-0000-0000-0000-000000000000}"/>
  <bookViews>
    <workbookView xWindow="-120" yWindow="-120" windowWidth="29040" windowHeight="15840" xr2:uid="{8130939C-3B75-47EE-9207-6ACEC216528A}"/>
  </bookViews>
  <sheets>
    <sheet name="후렘" sheetId="1" r:id="rId1"/>
    <sheet name="문짝" sheetId="4" r:id="rId2"/>
    <sheet name="후렘ST" sheetId="10" r:id="rId3"/>
    <sheet name="문짝ST" sheetId="9" r:id="rId4"/>
    <sheet name="커튼월" sheetId="5" state="hidden" r:id="rId5"/>
    <sheet name="PJ(마스)" sheetId="6" state="hidden" r:id="rId6"/>
    <sheet name="PJ(우수)" sheetId="7" state="hidden" r:id="rId7"/>
    <sheet name="CM(마스)" sheetId="8" state="hidden" r:id="rId8"/>
  </sheets>
  <definedNames>
    <definedName name="_xlnm.Print_Area" localSheetId="7">'CM(마스)'!$A$1:$AG$24</definedName>
    <definedName name="_xlnm.Print_Area" localSheetId="5">'PJ(마스)'!$A$1:$AG$24</definedName>
    <definedName name="_xlnm.Print_Area" localSheetId="6">'PJ(우수)'!$A$1:$AI$24</definedName>
    <definedName name="_xlnm.Print_Area" localSheetId="4">커튼월!$A$1:$V$55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1" i="10" l="1"/>
  <c r="H41" i="10" s="1"/>
  <c r="E41" i="10"/>
  <c r="G37" i="10"/>
  <c r="H37" i="10" s="1"/>
  <c r="J37" i="10" s="1"/>
  <c r="K37" i="10" s="1"/>
  <c r="L37" i="10" s="1"/>
  <c r="E37" i="10"/>
  <c r="G26" i="10"/>
  <c r="H26" i="10" s="1"/>
  <c r="J26" i="10" s="1"/>
  <c r="K26" i="10" s="1"/>
  <c r="L26" i="10" s="1"/>
  <c r="E26" i="10"/>
  <c r="H21" i="10"/>
  <c r="G21" i="10"/>
  <c r="E21" i="10"/>
  <c r="J21" i="10" s="1"/>
  <c r="K21" i="10" s="1"/>
  <c r="L21" i="10" s="1"/>
  <c r="W17" i="10"/>
  <c r="X16" i="10"/>
  <c r="W16" i="10"/>
  <c r="V16" i="10"/>
  <c r="G15" i="10"/>
  <c r="H15" i="10" s="1"/>
  <c r="E15" i="10"/>
  <c r="J15" i="10" s="1"/>
  <c r="K15" i="10" s="1"/>
  <c r="L15" i="10" s="1"/>
  <c r="M17" i="10" s="1"/>
  <c r="H10" i="10"/>
  <c r="J10" i="10" s="1"/>
  <c r="K10" i="10" s="1"/>
  <c r="L10" i="10" s="1"/>
  <c r="G10" i="10"/>
  <c r="E10" i="10"/>
  <c r="H71" i="9"/>
  <c r="G71" i="9"/>
  <c r="E71" i="9"/>
  <c r="J71" i="9" s="1"/>
  <c r="K71" i="9" s="1"/>
  <c r="L71" i="9" s="1"/>
  <c r="J67" i="9"/>
  <c r="K67" i="9" s="1"/>
  <c r="L67" i="9" s="1"/>
  <c r="H67" i="9"/>
  <c r="G67" i="9"/>
  <c r="E67" i="9"/>
  <c r="H57" i="9"/>
  <c r="G57" i="9"/>
  <c r="E57" i="9"/>
  <c r="J57" i="9" s="1"/>
  <c r="K57" i="9" s="1"/>
  <c r="L57" i="9" s="1"/>
  <c r="H53" i="9"/>
  <c r="J53" i="9" s="1"/>
  <c r="K53" i="9" s="1"/>
  <c r="L53" i="9" s="1"/>
  <c r="G53" i="9"/>
  <c r="E53" i="9"/>
  <c r="H47" i="9"/>
  <c r="G47" i="9"/>
  <c r="E47" i="9"/>
  <c r="J47" i="9" s="1"/>
  <c r="K47" i="9" s="1"/>
  <c r="L47" i="9" s="1"/>
  <c r="H36" i="9"/>
  <c r="J36" i="9" s="1"/>
  <c r="K36" i="9" s="1"/>
  <c r="L36" i="9" s="1"/>
  <c r="G36" i="9"/>
  <c r="E36" i="9"/>
  <c r="H31" i="9"/>
  <c r="G31" i="9"/>
  <c r="E31" i="9"/>
  <c r="J31" i="9" s="1"/>
  <c r="K31" i="9" s="1"/>
  <c r="L31" i="9" s="1"/>
  <c r="H20" i="9"/>
  <c r="J20" i="9" s="1"/>
  <c r="K20" i="9" s="1"/>
  <c r="L20" i="9" s="1"/>
  <c r="M17" i="9" s="1"/>
  <c r="G20" i="9"/>
  <c r="E20" i="9"/>
  <c r="W16" i="9"/>
  <c r="W17" i="9" s="1"/>
  <c r="V16" i="9"/>
  <c r="G11" i="9"/>
  <c r="H11" i="9" s="1"/>
  <c r="J11" i="9" s="1"/>
  <c r="K11" i="9" s="1"/>
  <c r="L11" i="9" s="1"/>
  <c r="E11" i="9"/>
  <c r="J41" i="10" l="1"/>
  <c r="K41" i="10" s="1"/>
  <c r="L41" i="10" s="1"/>
  <c r="X16" i="9"/>
</calcChain>
</file>

<file path=xl/sharedStrings.xml><?xml version="1.0" encoding="utf-8"?>
<sst xmlns="http://schemas.openxmlformats.org/spreadsheetml/2006/main" count="1047" uniqueCount="191">
  <si>
    <t>H</t>
    <phoneticPr fontId="1" type="noConversion"/>
  </si>
  <si>
    <t>W</t>
    <phoneticPr fontId="1" type="noConversion"/>
  </si>
  <si>
    <t>절단</t>
    <phoneticPr fontId="1" type="noConversion"/>
  </si>
  <si>
    <t>H1</t>
    <phoneticPr fontId="1" type="noConversion"/>
  </si>
  <si>
    <t>H2</t>
    <phoneticPr fontId="1" type="noConversion"/>
  </si>
  <si>
    <t>W1</t>
    <phoneticPr fontId="1" type="noConversion"/>
  </si>
  <si>
    <t>W2</t>
    <phoneticPr fontId="1" type="noConversion"/>
  </si>
  <si>
    <t>가네고부착</t>
    <phoneticPr fontId="1" type="noConversion"/>
  </si>
  <si>
    <t>배수홀가공</t>
    <phoneticPr fontId="1" type="noConversion"/>
  </si>
  <si>
    <t>풍지판부착</t>
    <phoneticPr fontId="1" type="noConversion"/>
  </si>
  <si>
    <t>나사체결</t>
    <phoneticPr fontId="1" type="noConversion"/>
  </si>
  <si>
    <t>이탈방지</t>
    <phoneticPr fontId="1" type="noConversion"/>
  </si>
  <si>
    <t>조립</t>
    <phoneticPr fontId="1" type="noConversion"/>
  </si>
  <si>
    <t>W3</t>
    <phoneticPr fontId="1" type="noConversion"/>
  </si>
  <si>
    <t>피스홀</t>
    <phoneticPr fontId="1" type="noConversion"/>
  </si>
  <si>
    <t>양후렘연결재</t>
    <phoneticPr fontId="1" type="noConversion"/>
  </si>
  <si>
    <t>H3-1</t>
    <phoneticPr fontId="1" type="noConversion"/>
  </si>
  <si>
    <t>H3-2</t>
    <phoneticPr fontId="1" type="noConversion"/>
  </si>
  <si>
    <t>모헤어삽입</t>
    <phoneticPr fontId="1" type="noConversion"/>
  </si>
  <si>
    <t>크리센트부착</t>
    <phoneticPr fontId="1" type="noConversion"/>
  </si>
  <si>
    <t>피스홀 타공</t>
    <phoneticPr fontId="1" type="noConversion"/>
  </si>
  <si>
    <t>코너브라켓결합</t>
    <phoneticPr fontId="1" type="noConversion"/>
  </si>
  <si>
    <t>고리캡 절단</t>
    <phoneticPr fontId="1" type="noConversion"/>
  </si>
  <si>
    <t>고리캡 가공</t>
    <phoneticPr fontId="1" type="noConversion"/>
  </si>
  <si>
    <t>가이드부착</t>
    <phoneticPr fontId="1" type="noConversion"/>
  </si>
  <si>
    <t>미서기 공정 진행표 (후렘)</t>
    <phoneticPr fontId="1" type="noConversion"/>
  </si>
  <si>
    <t>문짝</t>
    <phoneticPr fontId="1" type="noConversion"/>
  </si>
  <si>
    <t>미서기 공정 진행표 (문짝)</t>
    <phoneticPr fontId="1" type="noConversion"/>
  </si>
  <si>
    <t>H3</t>
    <phoneticPr fontId="1" type="noConversion"/>
  </si>
  <si>
    <t>중연창(2*1)</t>
    <phoneticPr fontId="1" type="noConversion"/>
  </si>
  <si>
    <t>중연창(1*2)</t>
    <phoneticPr fontId="1" type="noConversion"/>
  </si>
  <si>
    <t>미서기창(1*1)</t>
    <phoneticPr fontId="1" type="noConversion"/>
  </si>
  <si>
    <t>중중연창(2*2)</t>
    <phoneticPr fontId="1" type="noConversion"/>
  </si>
  <si>
    <t>G</t>
    <phoneticPr fontId="1" type="noConversion"/>
  </si>
  <si>
    <t>H2 / G</t>
    <phoneticPr fontId="1" type="noConversion"/>
  </si>
  <si>
    <t>단창(1*1)</t>
    <phoneticPr fontId="1" type="noConversion"/>
  </si>
  <si>
    <t>중연단창(1*2)</t>
    <phoneticPr fontId="1" type="noConversion"/>
  </si>
  <si>
    <t>1.절단</t>
    <phoneticPr fontId="1" type="noConversion"/>
  </si>
  <si>
    <t>2.피스홀</t>
    <phoneticPr fontId="1" type="noConversion"/>
  </si>
  <si>
    <t>3.배수홀가공</t>
    <phoneticPr fontId="1" type="noConversion"/>
  </si>
  <si>
    <t>4.풍지판부착</t>
    <phoneticPr fontId="1" type="noConversion"/>
  </si>
  <si>
    <t>5.이탈방지</t>
    <phoneticPr fontId="1" type="noConversion"/>
  </si>
  <si>
    <t>6.가네고부착</t>
    <phoneticPr fontId="1" type="noConversion"/>
  </si>
  <si>
    <t>7.나사체결</t>
    <phoneticPr fontId="1" type="noConversion"/>
  </si>
  <si>
    <t>8.양후렘연결재</t>
    <phoneticPr fontId="1" type="noConversion"/>
  </si>
  <si>
    <t>9.조립</t>
    <phoneticPr fontId="1" type="noConversion"/>
  </si>
  <si>
    <t>2.모헤어삽입</t>
    <phoneticPr fontId="1" type="noConversion"/>
  </si>
  <si>
    <t>3.크리센트부착</t>
    <phoneticPr fontId="1" type="noConversion"/>
  </si>
  <si>
    <t>4.피스홀 타공</t>
    <phoneticPr fontId="1" type="noConversion"/>
  </si>
  <si>
    <t>5.코너브라켓결합</t>
    <phoneticPr fontId="1" type="noConversion"/>
  </si>
  <si>
    <t>6.고리캡 절단</t>
    <phoneticPr fontId="1" type="noConversion"/>
  </si>
  <si>
    <t>7.고리캡 가공</t>
    <phoneticPr fontId="1" type="noConversion"/>
  </si>
  <si>
    <t>8.가이드부착</t>
    <phoneticPr fontId="1" type="noConversion"/>
  </si>
  <si>
    <t>몸통바</t>
    <phoneticPr fontId="1" type="noConversion"/>
  </si>
  <si>
    <t>2차캡</t>
    <phoneticPr fontId="1" type="noConversion"/>
  </si>
  <si>
    <t>외캡</t>
    <phoneticPr fontId="1" type="noConversion"/>
  </si>
  <si>
    <t>홈마개</t>
    <phoneticPr fontId="1" type="noConversion"/>
  </si>
  <si>
    <t>2차캡 취부</t>
    <phoneticPr fontId="1" type="noConversion"/>
  </si>
  <si>
    <t>외캡 취부</t>
    <phoneticPr fontId="1" type="noConversion"/>
  </si>
  <si>
    <t>홈마개 취부</t>
    <phoneticPr fontId="1" type="noConversion"/>
  </si>
  <si>
    <t>마구리 취부</t>
    <phoneticPr fontId="1" type="noConversion"/>
  </si>
  <si>
    <t>노출바</t>
    <phoneticPr fontId="1" type="noConversion"/>
  </si>
  <si>
    <t>가네고취부</t>
    <phoneticPr fontId="1" type="noConversion"/>
  </si>
  <si>
    <t>홀타공</t>
    <phoneticPr fontId="1" type="noConversion"/>
  </si>
  <si>
    <t>ㅇ</t>
    <phoneticPr fontId="1" type="noConversion"/>
  </si>
  <si>
    <t>H(길게)</t>
    <phoneticPr fontId="1" type="noConversion"/>
  </si>
  <si>
    <t>H(짧게)</t>
    <phoneticPr fontId="1" type="noConversion"/>
  </si>
  <si>
    <t>포장</t>
    <phoneticPr fontId="1" type="noConversion"/>
  </si>
  <si>
    <t>W(짧게)</t>
    <phoneticPr fontId="1" type="noConversion"/>
  </si>
  <si>
    <t>W(길게)</t>
    <phoneticPr fontId="1" type="noConversion"/>
  </si>
  <si>
    <t>넛칭카바</t>
    <phoneticPr fontId="1" type="noConversion"/>
  </si>
  <si>
    <t>유리받침대</t>
    <phoneticPr fontId="1" type="noConversion"/>
  </si>
  <si>
    <t>w1</t>
    <phoneticPr fontId="1" type="noConversion"/>
  </si>
  <si>
    <t>w2</t>
    <phoneticPr fontId="1" type="noConversion"/>
  </si>
  <si>
    <t>h2</t>
    <phoneticPr fontId="1" type="noConversion"/>
  </si>
  <si>
    <t>h1</t>
    <phoneticPr fontId="1" type="noConversion"/>
  </si>
  <si>
    <t>히든바</t>
    <phoneticPr fontId="1" type="noConversion"/>
  </si>
  <si>
    <t>마감캡</t>
    <phoneticPr fontId="1" type="noConversion"/>
  </si>
  <si>
    <t>마감캡 취부</t>
    <phoneticPr fontId="1" type="noConversion"/>
  </si>
  <si>
    <t>품목</t>
    <phoneticPr fontId="1" type="noConversion"/>
  </si>
  <si>
    <t>후렘</t>
    <phoneticPr fontId="1" type="noConversion"/>
  </si>
  <si>
    <t>T형가스켓</t>
    <phoneticPr fontId="1" type="noConversion"/>
  </si>
  <si>
    <t>가네고 부착</t>
    <phoneticPr fontId="1" type="noConversion"/>
  </si>
  <si>
    <t>클램핑</t>
    <phoneticPr fontId="1" type="noConversion"/>
  </si>
  <si>
    <t>핸들부착</t>
    <phoneticPr fontId="1" type="noConversion"/>
  </si>
  <si>
    <t>암대 가공</t>
    <phoneticPr fontId="1" type="noConversion"/>
  </si>
  <si>
    <t>암대장착</t>
    <phoneticPr fontId="1" type="noConversion"/>
  </si>
  <si>
    <t>코너커버 부착</t>
    <phoneticPr fontId="1" type="noConversion"/>
  </si>
  <si>
    <t>W1</t>
  </si>
  <si>
    <t>W2</t>
  </si>
  <si>
    <t>H1</t>
  </si>
  <si>
    <t>H2</t>
  </si>
  <si>
    <t>T형 가스켓</t>
    <phoneticPr fontId="1" type="noConversion"/>
  </si>
  <si>
    <t>O형 가스켓</t>
    <phoneticPr fontId="1" type="noConversion"/>
  </si>
  <si>
    <t>걸림판 부착</t>
    <phoneticPr fontId="1" type="noConversion"/>
  </si>
  <si>
    <t>핸들 홀타공</t>
    <phoneticPr fontId="1" type="noConversion"/>
  </si>
  <si>
    <t>핸들홀타공</t>
    <phoneticPr fontId="1" type="noConversion"/>
  </si>
  <si>
    <t>스트라이커</t>
    <phoneticPr fontId="1" type="noConversion"/>
  </si>
  <si>
    <t>PJ 공정 진행표(마스)</t>
    <phoneticPr fontId="1" type="noConversion"/>
  </si>
  <si>
    <t>PJ 공정 진행표(우수)</t>
    <phoneticPr fontId="1" type="noConversion"/>
  </si>
  <si>
    <t>CM 공정 진행표(마스)</t>
    <phoneticPr fontId="1" type="noConversion"/>
  </si>
  <si>
    <t>경첩 장착</t>
    <phoneticPr fontId="1" type="noConversion"/>
  </si>
  <si>
    <t>보조암대장착</t>
    <phoneticPr fontId="1" type="noConversion"/>
  </si>
  <si>
    <t>커튼월 공정 진행표</t>
    <phoneticPr fontId="1" type="noConversion"/>
  </si>
  <si>
    <t>베어링가이드</t>
    <phoneticPr fontId="1" type="noConversion"/>
  </si>
  <si>
    <t>일반핸들</t>
    <phoneticPr fontId="1" type="noConversion"/>
  </si>
  <si>
    <t>슬라이드</t>
    <phoneticPr fontId="1" type="noConversion"/>
  </si>
  <si>
    <t>멀티핸들</t>
    <phoneticPr fontId="1" type="noConversion"/>
  </si>
  <si>
    <t xml:space="preserve"> </t>
    <phoneticPr fontId="1" type="noConversion"/>
  </si>
  <si>
    <t>*기본모델 기준</t>
    <phoneticPr fontId="1" type="noConversion"/>
  </si>
  <si>
    <t>작업시간</t>
    <phoneticPr fontId="1" type="noConversion"/>
  </si>
  <si>
    <t>구분</t>
    <phoneticPr fontId="1" type="noConversion"/>
  </si>
  <si>
    <t>공정</t>
    <phoneticPr fontId="1" type="noConversion"/>
  </si>
  <si>
    <t>수량</t>
    <phoneticPr fontId="1" type="noConversion"/>
  </si>
  <si>
    <t>단위</t>
    <phoneticPr fontId="1" type="noConversion"/>
  </si>
  <si>
    <t>시간</t>
    <phoneticPr fontId="1" type="noConversion"/>
  </si>
  <si>
    <t>1분당수량</t>
    <phoneticPr fontId="1" type="noConversion"/>
  </si>
  <si>
    <t>60분</t>
    <phoneticPr fontId="1" type="noConversion"/>
  </si>
  <si>
    <t>8시간</t>
    <phoneticPr fontId="1" type="noConversion"/>
  </si>
  <si>
    <t>단창 225mm 1.35T</t>
    <phoneticPr fontId="1" type="noConversion"/>
  </si>
  <si>
    <t>준비</t>
  </si>
  <si>
    <t>초</t>
    <phoneticPr fontId="1" type="noConversion"/>
  </si>
  <si>
    <t>시</t>
    <phoneticPr fontId="1" type="noConversion"/>
  </si>
  <si>
    <t>분</t>
    <phoneticPr fontId="1" type="noConversion"/>
  </si>
  <si>
    <t>회의</t>
    <phoneticPr fontId="1" type="noConversion"/>
  </si>
  <si>
    <t>1회절단</t>
  </si>
  <si>
    <t>개</t>
  </si>
  <si>
    <t>조회</t>
    <phoneticPr fontId="1" type="noConversion"/>
  </si>
  <si>
    <t>2회절단</t>
  </si>
  <si>
    <t>작업</t>
    <phoneticPr fontId="1" type="noConversion"/>
  </si>
  <si>
    <t>3회절단</t>
  </si>
  <si>
    <t>휴식</t>
    <phoneticPr fontId="1" type="noConversion"/>
  </si>
  <si>
    <t>4회절단</t>
  </si>
  <si>
    <t>5회절단</t>
  </si>
  <si>
    <t>점심</t>
    <phoneticPr fontId="1" type="noConversion"/>
  </si>
  <si>
    <t>마무리</t>
  </si>
  <si>
    <t>이중창 1.35T</t>
    <phoneticPr fontId="1" type="noConversion"/>
  </si>
  <si>
    <t>이중창</t>
    <phoneticPr fontId="1" type="noConversion"/>
  </si>
  <si>
    <t>자재 들어올리기(4개)</t>
    <phoneticPr fontId="1" type="noConversion"/>
  </si>
  <si>
    <t>준비</t>
    <phoneticPr fontId="1" type="noConversion"/>
  </si>
  <si>
    <t>작업자1</t>
    <phoneticPr fontId="1" type="noConversion"/>
  </si>
  <si>
    <t>1회 가공</t>
    <phoneticPr fontId="1" type="noConversion"/>
  </si>
  <si>
    <t>개</t>
    <phoneticPr fontId="1" type="noConversion"/>
  </si>
  <si>
    <t>작업자2</t>
    <phoneticPr fontId="1" type="noConversion"/>
  </si>
  <si>
    <t>운반</t>
    <phoneticPr fontId="1" type="noConversion"/>
  </si>
  <si>
    <t>일자크리센트</t>
    <phoneticPr fontId="1" type="noConversion"/>
  </si>
  <si>
    <t>테이블로 자재세팅(4*4번)</t>
    <phoneticPr fontId="1" type="noConversion"/>
  </si>
  <si>
    <t>파레트운반(1회)</t>
    <phoneticPr fontId="1" type="noConversion"/>
  </si>
  <si>
    <t>피스홀 가공</t>
    <phoneticPr fontId="1" type="noConversion"/>
  </si>
  <si>
    <t>1회 가공</t>
  </si>
  <si>
    <t>하부브라켓 체결</t>
  </si>
  <si>
    <t>1회가공</t>
  </si>
  <si>
    <t>상부브라켓 체결</t>
  </si>
  <si>
    <t>4개 단위</t>
  </si>
  <si>
    <t>1회 운반</t>
  </si>
  <si>
    <t>1면 단위</t>
  </si>
  <si>
    <t>1면 정렬</t>
  </si>
  <si>
    <t>7.고리캡가공</t>
    <phoneticPr fontId="1" type="noConversion"/>
  </si>
  <si>
    <t>고리캡</t>
    <phoneticPr fontId="1" type="noConversion"/>
  </si>
  <si>
    <t>자재 세팅</t>
    <phoneticPr fontId="1" type="noConversion"/>
  </si>
  <si>
    <t>1회가공</t>
    <phoneticPr fontId="1" type="noConversion"/>
  </si>
  <si>
    <t>57개 기준</t>
    <phoneticPr fontId="1" type="noConversion"/>
  </si>
  <si>
    <t>상부가이드부착</t>
    <phoneticPr fontId="1" type="noConversion"/>
  </si>
  <si>
    <t>피스체결</t>
    <phoneticPr fontId="1" type="noConversion"/>
  </si>
  <si>
    <t>하부가이드부착</t>
    <phoneticPr fontId="1" type="noConversion"/>
  </si>
  <si>
    <t>가공</t>
    <phoneticPr fontId="1" type="noConversion"/>
  </si>
  <si>
    <t>크리센트 고리</t>
    <phoneticPr fontId="1" type="noConversion"/>
  </si>
  <si>
    <t>길이측정</t>
    <phoneticPr fontId="1" type="noConversion"/>
  </si>
  <si>
    <t>구분</t>
  </si>
  <si>
    <t>공정</t>
  </si>
  <si>
    <t>수량</t>
  </si>
  <si>
    <t>단위</t>
  </si>
  <si>
    <t>시간</t>
  </si>
  <si>
    <t>단창(후렘)</t>
    <phoneticPr fontId="1" type="noConversion"/>
  </si>
  <si>
    <t>이중창(후렘)</t>
    <phoneticPr fontId="1" type="noConversion"/>
  </si>
  <si>
    <t>1회절단</t>
    <phoneticPr fontId="1" type="noConversion"/>
  </si>
  <si>
    <t>마무리</t>
    <phoneticPr fontId="1" type="noConversion"/>
  </si>
  <si>
    <t>이중창(양후렘)</t>
    <phoneticPr fontId="1" type="noConversion"/>
  </si>
  <si>
    <t>절단기로 이동</t>
    <phoneticPr fontId="1" type="noConversion"/>
  </si>
  <si>
    <t>2회절단</t>
    <phoneticPr fontId="1" type="noConversion"/>
  </si>
  <si>
    <t>3.피스홀</t>
    <phoneticPr fontId="1" type="noConversion"/>
  </si>
  <si>
    <t>가공기로 이동</t>
    <phoneticPr fontId="1" type="noConversion"/>
  </si>
  <si>
    <t>5.풍지판부착</t>
    <phoneticPr fontId="1" type="noConversion"/>
  </si>
  <si>
    <t>7.양후렘연결재</t>
    <phoneticPr fontId="1" type="noConversion"/>
  </si>
  <si>
    <t>1회 가공(1면기준)</t>
    <phoneticPr fontId="1" type="noConversion"/>
  </si>
  <si>
    <t>*12분 39초(파레트하나당)</t>
  </si>
  <si>
    <t>이탈방지</t>
  </si>
  <si>
    <t>풍지판</t>
  </si>
  <si>
    <t>부자재</t>
  </si>
  <si>
    <t>개구부 1개당 상·하부 각 1EA (총 2EA)</t>
  </si>
  <si>
    <t>개구부 1개당 상부 1EA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</si>
</sst>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4"/>
      <color theme="1"/>
      <name val="HY헤드라인M"/>
      <family val="1"/>
      <charset val="129"/>
    </font>
    <font>
      <b/>
      <u/>
      <sz val="24"/>
      <color theme="1"/>
      <name val="HY헤드라인M"/>
      <family val="1"/>
      <charset val="129"/>
    </font>
    <font>
      <sz val="11"/>
      <color rgb="FFFF0000"/>
      <name val="맑은 고딕"/>
      <family val="2"/>
      <charset val="129"/>
      <scheme val="minor"/>
    </font>
    <font>
      <sz val="11"/>
      <color rgb="FF7030A0"/>
      <name val="맑은 고딕"/>
      <family val="2"/>
      <charset val="129"/>
      <scheme val="minor"/>
    </font>
    <font>
      <sz val="11"/>
      <color rgb="FF0070C0"/>
      <name val="맑은 고딕"/>
      <family val="2"/>
      <charset val="129"/>
      <scheme val="minor"/>
    </font>
    <font>
      <sz val="11"/>
      <color rgb="FF0070C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6"/>
      <color theme="1"/>
      <name val="맑은 고딕"/>
      <family val="2"/>
      <charset val="129"/>
      <scheme val="minor"/>
    </font>
    <font>
      <u/>
      <sz val="24"/>
      <color theme="1"/>
      <name val="HY헤드라인M"/>
      <family val="1"/>
      <charset val="129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7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ashDotDot">
        <color auto="1"/>
      </bottom>
      <diagonal/>
    </border>
    <border>
      <left style="medium">
        <color auto="1"/>
      </left>
      <right/>
      <top/>
      <bottom style="medium">
        <color rgb="FF0070C0"/>
      </bottom>
      <diagonal/>
    </border>
    <border>
      <left/>
      <right style="medium">
        <color auto="1"/>
      </right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 style="medium">
        <color rgb="FF7030A0"/>
      </left>
      <right/>
      <top style="medium">
        <color auto="1"/>
      </top>
      <bottom/>
      <diagonal/>
    </border>
    <border>
      <left style="medium">
        <color rgb="FF7030A0"/>
      </left>
      <right/>
      <top/>
      <bottom/>
      <diagonal/>
    </border>
    <border>
      <left style="medium">
        <color rgb="FF7030A0"/>
      </left>
      <right/>
      <top/>
      <bottom style="medium">
        <color rgb="FF0070C0"/>
      </bottom>
      <diagonal/>
    </border>
    <border>
      <left style="medium">
        <color rgb="FFFF0000"/>
      </left>
      <right/>
      <top style="medium">
        <color rgb="FF0070C0"/>
      </top>
      <bottom/>
      <diagonal/>
    </border>
    <border>
      <left style="medium">
        <color rgb="FFFF0000"/>
      </left>
      <right/>
      <top/>
      <bottom/>
      <diagonal/>
    </border>
    <border>
      <left style="medium">
        <color rgb="FFFF0000"/>
      </left>
      <right/>
      <top/>
      <bottom style="medium">
        <color auto="1"/>
      </bottom>
      <diagonal/>
    </border>
    <border>
      <left/>
      <right style="medium">
        <color rgb="FF0070C0"/>
      </right>
      <top style="medium">
        <color auto="1"/>
      </top>
      <bottom/>
      <diagonal/>
    </border>
    <border>
      <left/>
      <right style="medium">
        <color rgb="FF0070C0"/>
      </right>
      <top/>
      <bottom/>
      <diagonal/>
    </border>
    <border>
      <left/>
      <right style="medium">
        <color rgb="FF0070C0"/>
      </right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/>
      <top/>
      <bottom style="dashDot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41" fontId="13" fillId="0" borderId="0" applyFont="0" applyFill="0" applyBorder="0" applyAlignment="0" applyProtection="0">
      <alignment vertical="center"/>
    </xf>
  </cellStyleXfs>
  <cellXfs count="15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0" borderId="0" xfId="0" applyFont="1">
      <alignment vertical="center"/>
    </xf>
    <xf numFmtId="0" fontId="0" fillId="0" borderId="19" xfId="0" applyBorder="1" applyAlignment="1">
      <alignment horizontal="center" vertical="center"/>
    </xf>
    <xf numFmtId="0" fontId="0" fillId="0" borderId="19" xfId="0" applyBorder="1">
      <alignment vertical="center"/>
    </xf>
    <xf numFmtId="0" fontId="0" fillId="4" borderId="1" xfId="0" applyFill="1" applyBorder="1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0" fillId="2" borderId="13" xfId="0" applyFill="1" applyBorder="1" applyAlignment="1">
      <alignment horizontal="center" vertical="center" shrinkToFit="1"/>
    </xf>
    <xf numFmtId="0" fontId="0" fillId="2" borderId="14" xfId="0" applyFill="1" applyBorder="1" applyAlignment="1">
      <alignment horizontal="center" vertical="center" shrinkToFit="1"/>
    </xf>
    <xf numFmtId="0" fontId="0" fillId="2" borderId="15" xfId="0" applyFill="1" applyBorder="1" applyAlignment="1">
      <alignment horizontal="center" vertical="center" shrinkToFit="1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0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3" xfId="0" applyBorder="1">
      <alignment vertical="center"/>
    </xf>
    <xf numFmtId="0" fontId="0" fillId="0" borderId="5" xfId="0" applyBorder="1">
      <alignment vertical="center"/>
    </xf>
    <xf numFmtId="0" fontId="0" fillId="0" borderId="7" xfId="0" applyBorder="1">
      <alignment vertical="center"/>
    </xf>
    <xf numFmtId="0" fontId="8" fillId="0" borderId="0" xfId="0" applyFont="1" applyAlignment="1">
      <alignment horizontal="center" vertical="center"/>
    </xf>
    <xf numFmtId="0" fontId="0" fillId="0" borderId="2" xfId="0" applyBorder="1">
      <alignment vertical="center"/>
    </xf>
    <xf numFmtId="0" fontId="0" fillId="0" borderId="8" xfId="0" applyBorder="1">
      <alignment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0" fontId="0" fillId="0" borderId="9" xfId="0" applyBorder="1">
      <alignment vertical="center"/>
    </xf>
    <xf numFmtId="0" fontId="0" fillId="0" borderId="52" xfId="0" applyBorder="1">
      <alignment vertical="center"/>
    </xf>
    <xf numFmtId="0" fontId="0" fillId="0" borderId="52" xfId="0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3" borderId="13" xfId="0" applyFill="1" applyBorder="1" applyAlignment="1">
      <alignment horizontal="center" vertical="center" shrinkToFit="1"/>
    </xf>
    <xf numFmtId="0" fontId="11" fillId="4" borderId="40" xfId="0" applyFont="1" applyFill="1" applyBorder="1" applyAlignment="1">
      <alignment horizontal="center" vertical="center"/>
    </xf>
    <xf numFmtId="0" fontId="11" fillId="4" borderId="41" xfId="0" applyFont="1" applyFill="1" applyBorder="1" applyAlignment="1">
      <alignment horizontal="center" vertical="center"/>
    </xf>
    <xf numFmtId="0" fontId="11" fillId="4" borderId="42" xfId="0" applyFont="1" applyFill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0" borderId="44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46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47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12" fillId="0" borderId="48" xfId="0" applyFont="1" applyBorder="1" applyAlignment="1">
      <alignment horizontal="center" vertical="center"/>
    </xf>
    <xf numFmtId="0" fontId="12" fillId="0" borderId="50" xfId="0" applyFont="1" applyBorder="1" applyAlignment="1">
      <alignment horizontal="center" vertical="center"/>
    </xf>
    <xf numFmtId="0" fontId="12" fillId="0" borderId="51" xfId="0" applyFont="1" applyBorder="1" applyAlignment="1">
      <alignment horizontal="center" vertical="center"/>
    </xf>
    <xf numFmtId="0" fontId="12" fillId="0" borderId="0" xfId="0" applyFont="1">
      <alignment vertical="center"/>
    </xf>
    <xf numFmtId="0" fontId="11" fillId="0" borderId="0" xfId="0" applyFont="1">
      <alignment vertical="center"/>
    </xf>
    <xf numFmtId="0" fontId="12" fillId="0" borderId="11" xfId="0" applyFont="1" applyBorder="1">
      <alignment vertical="center"/>
    </xf>
    <xf numFmtId="0" fontId="12" fillId="0" borderId="34" xfId="0" applyFont="1" applyBorder="1">
      <alignment vertical="center"/>
    </xf>
    <xf numFmtId="0" fontId="12" fillId="0" borderId="35" xfId="0" applyFont="1" applyBorder="1">
      <alignment vertical="center"/>
    </xf>
    <xf numFmtId="0" fontId="12" fillId="0" borderId="12" xfId="0" applyFont="1" applyBorder="1">
      <alignment vertical="center"/>
    </xf>
    <xf numFmtId="0" fontId="12" fillId="0" borderId="3" xfId="0" applyFont="1" applyBorder="1">
      <alignment vertical="center"/>
    </xf>
    <xf numFmtId="0" fontId="12" fillId="0" borderId="5" xfId="0" applyFont="1" applyBorder="1">
      <alignment vertical="center"/>
    </xf>
    <xf numFmtId="0" fontId="12" fillId="0" borderId="10" xfId="0" applyFont="1" applyBorder="1">
      <alignment vertical="center"/>
    </xf>
    <xf numFmtId="0" fontId="12" fillId="0" borderId="33" xfId="0" applyFont="1" applyBorder="1">
      <alignment vertical="center"/>
    </xf>
    <xf numFmtId="0" fontId="12" fillId="0" borderId="7" xfId="0" applyFont="1" applyBorder="1">
      <alignment vertical="center"/>
    </xf>
    <xf numFmtId="0" fontId="12" fillId="0" borderId="19" xfId="0" applyFont="1" applyBorder="1">
      <alignment vertical="center"/>
    </xf>
    <xf numFmtId="0" fontId="14" fillId="0" borderId="0" xfId="0" applyFont="1" applyAlignment="1">
      <alignment horizontal="center" vertical="center"/>
    </xf>
    <xf numFmtId="0" fontId="0" fillId="3" borderId="40" xfId="0" applyFill="1" applyBorder="1" applyAlignment="1">
      <alignment horizontal="center" vertical="center"/>
    </xf>
    <xf numFmtId="0" fontId="0" fillId="3" borderId="41" xfId="0" applyFill="1" applyBorder="1" applyAlignment="1">
      <alignment horizontal="center" vertical="center"/>
    </xf>
    <xf numFmtId="0" fontId="0" fillId="3" borderId="42" xfId="0" applyFill="1" applyBorder="1" applyAlignment="1">
      <alignment horizontal="center" vertical="center"/>
    </xf>
    <xf numFmtId="0" fontId="8" fillId="2" borderId="53" xfId="0" applyFont="1" applyFill="1" applyBorder="1">
      <alignment vertical="center"/>
    </xf>
    <xf numFmtId="0" fontId="0" fillId="0" borderId="54" xfId="0" applyBorder="1">
      <alignment vertical="center"/>
    </xf>
    <xf numFmtId="41" fontId="0" fillId="0" borderId="54" xfId="1" applyFont="1" applyBorder="1">
      <alignment vertical="center"/>
    </xf>
    <xf numFmtId="41" fontId="0" fillId="0" borderId="55" xfId="1" applyFont="1" applyBorder="1">
      <alignment vertical="center"/>
    </xf>
    <xf numFmtId="0" fontId="0" fillId="0" borderId="56" xfId="0" applyBorder="1">
      <alignment vertical="center"/>
    </xf>
    <xf numFmtId="0" fontId="0" fillId="0" borderId="57" xfId="0" applyBorder="1">
      <alignment vertical="center"/>
    </xf>
    <xf numFmtId="0" fontId="0" fillId="0" borderId="58" xfId="0" applyBorder="1">
      <alignment vertical="center"/>
    </xf>
    <xf numFmtId="0" fontId="0" fillId="0" borderId="59" xfId="0" applyBorder="1">
      <alignment vertical="center"/>
    </xf>
    <xf numFmtId="0" fontId="0" fillId="0" borderId="60" xfId="0" applyBorder="1">
      <alignment vertical="center"/>
    </xf>
    <xf numFmtId="0" fontId="0" fillId="0" borderId="37" xfId="0" applyBorder="1">
      <alignment vertical="center"/>
    </xf>
    <xf numFmtId="41" fontId="0" fillId="0" borderId="37" xfId="1" applyFont="1" applyBorder="1">
      <alignment vertical="center"/>
    </xf>
    <xf numFmtId="41" fontId="0" fillId="0" borderId="46" xfId="1" applyFont="1" applyBorder="1">
      <alignment vertical="center"/>
    </xf>
    <xf numFmtId="0" fontId="0" fillId="0" borderId="61" xfId="0" applyBorder="1">
      <alignment vertical="center"/>
    </xf>
    <xf numFmtId="0" fontId="0" fillId="0" borderId="62" xfId="0" applyBorder="1">
      <alignment vertical="center"/>
    </xf>
    <xf numFmtId="0" fontId="0" fillId="0" borderId="63" xfId="0" applyBorder="1">
      <alignment vertical="center"/>
    </xf>
    <xf numFmtId="0" fontId="0" fillId="0" borderId="64" xfId="0" applyBorder="1">
      <alignment vertical="center"/>
    </xf>
    <xf numFmtId="0" fontId="0" fillId="0" borderId="65" xfId="0" applyBorder="1">
      <alignment vertical="center"/>
    </xf>
    <xf numFmtId="0" fontId="0" fillId="0" borderId="66" xfId="0" applyBorder="1">
      <alignment vertical="center"/>
    </xf>
    <xf numFmtId="41" fontId="0" fillId="0" borderId="66" xfId="1" applyFont="1" applyBorder="1">
      <alignment vertical="center"/>
    </xf>
    <xf numFmtId="41" fontId="0" fillId="0" borderId="67" xfId="1" applyFont="1" applyBorder="1">
      <alignment vertical="center"/>
    </xf>
    <xf numFmtId="0" fontId="0" fillId="4" borderId="68" xfId="0" applyFill="1" applyBorder="1">
      <alignment vertical="center"/>
    </xf>
    <xf numFmtId="0" fontId="0" fillId="4" borderId="69" xfId="0" applyFill="1" applyBorder="1">
      <alignment vertical="center"/>
    </xf>
    <xf numFmtId="41" fontId="0" fillId="4" borderId="69" xfId="1" applyFont="1" applyFill="1" applyBorder="1">
      <alignment vertical="center"/>
    </xf>
    <xf numFmtId="41" fontId="0" fillId="4" borderId="70" xfId="1" applyFont="1" applyFill="1" applyBorder="1">
      <alignment vertical="center"/>
    </xf>
    <xf numFmtId="41" fontId="0" fillId="0" borderId="0" xfId="1" applyFont="1">
      <alignment vertical="center"/>
    </xf>
    <xf numFmtId="0" fontId="0" fillId="0" borderId="71" xfId="0" applyBorder="1">
      <alignment vertical="center"/>
    </xf>
    <xf numFmtId="0" fontId="0" fillId="0" borderId="72" xfId="0" applyBorder="1">
      <alignment vertical="center"/>
    </xf>
    <xf numFmtId="0" fontId="0" fillId="0" borderId="73" xfId="0" applyBorder="1">
      <alignment vertical="center"/>
    </xf>
    <xf numFmtId="0" fontId="0" fillId="0" borderId="74" xfId="0" applyBorder="1">
      <alignment vertical="center"/>
    </xf>
    <xf numFmtId="0" fontId="0" fillId="3" borderId="71" xfId="0" applyFill="1" applyBorder="1">
      <alignment vertical="center"/>
    </xf>
    <xf numFmtId="0" fontId="0" fillId="3" borderId="72" xfId="0" applyFill="1" applyBorder="1">
      <alignment vertical="center"/>
    </xf>
    <xf numFmtId="0" fontId="0" fillId="3" borderId="73" xfId="0" applyFill="1" applyBorder="1">
      <alignment vertical="center"/>
    </xf>
    <xf numFmtId="0" fontId="0" fillId="3" borderId="74" xfId="0" applyFill="1" applyBorder="1">
      <alignment vertical="center"/>
    </xf>
    <xf numFmtId="41" fontId="0" fillId="0" borderId="0" xfId="0" applyNumberFormat="1">
      <alignment vertical="center"/>
    </xf>
    <xf numFmtId="43" fontId="0" fillId="0" borderId="0" xfId="0" applyNumberFormat="1">
      <alignment vertical="center"/>
    </xf>
    <xf numFmtId="4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2" fillId="3" borderId="43" xfId="0" applyFont="1" applyFill="1" applyBorder="1" applyAlignment="1">
      <alignment horizontal="center" vertical="center"/>
    </xf>
    <xf numFmtId="0" fontId="12" fillId="3" borderId="45" xfId="0" applyFont="1" applyFill="1" applyBorder="1" applyAlignment="1">
      <alignment horizontal="center" vertical="center"/>
    </xf>
    <xf numFmtId="0" fontId="12" fillId="2" borderId="45" xfId="0" applyFont="1" applyFill="1" applyBorder="1" applyAlignment="1">
      <alignment horizontal="center" vertical="center"/>
    </xf>
    <xf numFmtId="0" fontId="12" fillId="2" borderId="49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0" fillId="0" borderId="75" xfId="0" applyBorder="1" applyAlignment="1">
      <alignment horizontal="center" vertical="center" wrapText="1"/>
    </xf>
    <xf numFmtId="0" fontId="8" fillId="7" borderId="75" xfId="0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D2C43-8078-4E3A-9FA3-EA3D4B6E3DDB}">
  <sheetPr>
    <pageSetUpPr fitToPage="1"/>
  </sheetPr>
  <dimension ref="A1:AD69"/>
  <sheetViews>
    <sheetView showGridLines="0" tabSelected="1" zoomScale="87" zoomScaleNormal="87" workbookViewId="0">
      <selection activeCell="AD11" sqref="AD11"/>
    </sheetView>
  </sheetViews>
  <sheetFormatPr defaultRowHeight="16.5" x14ac:dyDescent="0.3"/>
  <cols>
    <col min="1" max="1" width="2" customWidth="1"/>
    <col min="2" max="7" width="4.875" style="1" customWidth="1"/>
    <col min="9" max="9" width="4.875" customWidth="1"/>
    <col min="10" max="10" width="4" customWidth="1"/>
    <col min="11" max="11" width="13.125" style="1" customWidth="1"/>
    <col min="12" max="12" width="4" customWidth="1"/>
    <col min="13" max="13" width="13.125" style="1" customWidth="1"/>
    <col min="14" max="14" width="4" customWidth="1"/>
    <col min="15" max="15" width="13.125" style="1" customWidth="1"/>
    <col min="16" max="16" width="4" customWidth="1"/>
    <col min="17" max="17" width="13.125" style="1" customWidth="1"/>
    <col min="18" max="18" width="4" customWidth="1"/>
    <col min="19" max="19" width="13.125" style="1" customWidth="1"/>
    <col min="20" max="20" width="4" customWidth="1"/>
    <col min="21" max="21" width="13.125" style="1" customWidth="1"/>
    <col min="22" max="22" width="4" customWidth="1"/>
    <col min="23" max="23" width="13.125" style="1" customWidth="1"/>
    <col min="24" max="24" width="4" customWidth="1"/>
    <col min="25" max="25" width="13.125" style="1" customWidth="1"/>
    <col min="26" max="26" width="4" customWidth="1"/>
    <col min="27" max="27" width="13.125" style="1" customWidth="1"/>
    <col min="30" max="30" width="36.875" bestFit="1" customWidth="1"/>
  </cols>
  <sheetData>
    <row r="1" spans="1:30" s="19" customFormat="1" ht="31.5" x14ac:dyDescent="0.3">
      <c r="A1" s="139" t="s">
        <v>25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</row>
    <row r="2" spans="1:30" x14ac:dyDescent="0.3">
      <c r="AA2" s="82" t="s">
        <v>109</v>
      </c>
    </row>
    <row r="3" spans="1:30" ht="17.25" thickBot="1" x14ac:dyDescent="0.35"/>
    <row r="4" spans="1:30" ht="26.25" customHeight="1" thickBot="1" x14ac:dyDescent="0.35">
      <c r="K4" s="18" t="s">
        <v>37</v>
      </c>
      <c r="M4" s="18" t="s">
        <v>38</v>
      </c>
      <c r="O4" s="18" t="s">
        <v>39</v>
      </c>
      <c r="Q4" s="18" t="s">
        <v>40</v>
      </c>
      <c r="S4" s="18" t="s">
        <v>41</v>
      </c>
      <c r="U4" s="18" t="s">
        <v>42</v>
      </c>
      <c r="W4" s="18" t="s">
        <v>43</v>
      </c>
      <c r="Y4" s="18" t="s">
        <v>44</v>
      </c>
      <c r="AA4" s="18" t="s">
        <v>45</v>
      </c>
      <c r="AC4" s="149" t="s">
        <v>188</v>
      </c>
      <c r="AD4" s="149" t="s">
        <v>170</v>
      </c>
    </row>
    <row r="5" spans="1:30" ht="26.25" customHeight="1" thickBot="1" x14ac:dyDescent="0.35">
      <c r="AC5" s="148" t="s">
        <v>187</v>
      </c>
      <c r="AD5" s="148" t="s">
        <v>189</v>
      </c>
    </row>
    <row r="6" spans="1:30" ht="26.25" customHeight="1" thickBot="1" x14ac:dyDescent="0.35">
      <c r="D6" s="126" t="s">
        <v>5</v>
      </c>
      <c r="E6" s="126"/>
      <c r="I6" s="127" t="s">
        <v>0</v>
      </c>
      <c r="J6" s="1"/>
      <c r="K6" s="12" t="s">
        <v>2</v>
      </c>
      <c r="L6" s="1"/>
      <c r="N6" s="1"/>
      <c r="P6" s="1"/>
      <c r="R6" s="1"/>
      <c r="T6" s="1"/>
      <c r="U6" s="12" t="s">
        <v>7</v>
      </c>
      <c r="V6" s="1"/>
      <c r="W6" s="12" t="s">
        <v>10</v>
      </c>
      <c r="X6" s="1"/>
      <c r="Z6" s="1"/>
      <c r="AA6" s="12" t="s">
        <v>12</v>
      </c>
      <c r="AC6" s="148" t="s">
        <v>186</v>
      </c>
      <c r="AD6" s="148" t="s">
        <v>190</v>
      </c>
    </row>
    <row r="7" spans="1:30" ht="26.25" customHeight="1" x14ac:dyDescent="0.3">
      <c r="C7" s="2"/>
      <c r="D7" s="3"/>
      <c r="E7" s="3"/>
      <c r="F7" s="4"/>
      <c r="I7" s="128"/>
      <c r="J7" s="1"/>
      <c r="K7" s="13" t="s">
        <v>3</v>
      </c>
      <c r="L7" s="1"/>
      <c r="N7" s="1"/>
      <c r="P7" s="1"/>
      <c r="R7" s="1"/>
      <c r="T7" s="1"/>
      <c r="U7" s="13" t="s">
        <v>3</v>
      </c>
      <c r="V7" s="1"/>
      <c r="W7" s="13" t="s">
        <v>3</v>
      </c>
      <c r="X7" s="1"/>
      <c r="Z7" s="1"/>
      <c r="AA7" s="13" t="s">
        <v>3</v>
      </c>
    </row>
    <row r="8" spans="1:30" ht="26.25" customHeight="1" thickBot="1" x14ac:dyDescent="0.35">
      <c r="C8" s="5"/>
      <c r="F8" s="6"/>
      <c r="I8" s="129"/>
      <c r="J8" s="1"/>
      <c r="K8" s="14" t="s">
        <v>4</v>
      </c>
      <c r="L8" s="1"/>
      <c r="N8" s="1"/>
      <c r="P8" s="1"/>
      <c r="R8" s="1"/>
      <c r="T8" s="1"/>
      <c r="U8" s="14" t="s">
        <v>4</v>
      </c>
      <c r="V8" s="1"/>
      <c r="W8" s="14" t="s">
        <v>4</v>
      </c>
      <c r="X8" s="1"/>
      <c r="Z8" s="1"/>
      <c r="AA8" s="14" t="s">
        <v>4</v>
      </c>
    </row>
    <row r="9" spans="1:30" ht="26.25" customHeight="1" thickBot="1" x14ac:dyDescent="0.35">
      <c r="B9" s="1" t="s">
        <v>3</v>
      </c>
      <c r="C9" s="5"/>
      <c r="F9" s="6"/>
      <c r="G9" s="1" t="s">
        <v>4</v>
      </c>
    </row>
    <row r="10" spans="1:30" ht="26.25" customHeight="1" x14ac:dyDescent="0.3">
      <c r="C10" s="7"/>
      <c r="D10" s="8"/>
      <c r="E10" s="8"/>
      <c r="F10" s="6"/>
      <c r="G10" s="8"/>
      <c r="I10" s="134" t="s">
        <v>1</v>
      </c>
      <c r="J10" s="1"/>
      <c r="K10" s="15" t="s">
        <v>2</v>
      </c>
      <c r="L10" s="1"/>
      <c r="N10" s="1"/>
      <c r="O10" s="15" t="s">
        <v>8</v>
      </c>
      <c r="P10" s="1"/>
      <c r="Q10" s="15" t="s">
        <v>9</v>
      </c>
      <c r="R10" s="1"/>
      <c r="S10" s="15" t="s">
        <v>11</v>
      </c>
      <c r="T10" s="1"/>
      <c r="V10" s="1"/>
      <c r="X10" s="1"/>
      <c r="Z10" s="1"/>
      <c r="AA10" s="15" t="s">
        <v>12</v>
      </c>
    </row>
    <row r="11" spans="1:30" ht="26.25" customHeight="1" thickBot="1" x14ac:dyDescent="0.35">
      <c r="C11" s="9"/>
      <c r="D11" s="10"/>
      <c r="E11" s="10"/>
      <c r="F11" s="11"/>
      <c r="I11" s="135"/>
      <c r="J11" s="1"/>
      <c r="K11" s="16" t="s">
        <v>5</v>
      </c>
      <c r="L11" s="1"/>
      <c r="N11" s="1"/>
      <c r="O11" s="16"/>
      <c r="P11" s="1"/>
      <c r="Q11" s="16" t="s">
        <v>5</v>
      </c>
      <c r="R11" s="1"/>
      <c r="S11" s="16" t="s">
        <v>5</v>
      </c>
      <c r="T11" s="1"/>
      <c r="V11" s="1"/>
      <c r="X11" s="1"/>
      <c r="Z11" s="1"/>
      <c r="AA11" s="16" t="s">
        <v>5</v>
      </c>
    </row>
    <row r="12" spans="1:30" ht="26.25" customHeight="1" thickBot="1" x14ac:dyDescent="0.35">
      <c r="D12" s="137" t="s">
        <v>6</v>
      </c>
      <c r="E12" s="137"/>
      <c r="I12" s="136"/>
      <c r="J12" s="1"/>
      <c r="K12" s="17" t="s">
        <v>6</v>
      </c>
      <c r="L12" s="1"/>
      <c r="N12" s="1"/>
      <c r="O12" s="17" t="s">
        <v>6</v>
      </c>
      <c r="P12" s="1"/>
      <c r="Q12" s="17" t="s">
        <v>6</v>
      </c>
      <c r="R12" s="1"/>
      <c r="S12" s="17"/>
      <c r="T12" s="1"/>
      <c r="V12" s="1"/>
      <c r="X12" s="1"/>
      <c r="Z12" s="1"/>
      <c r="AA12" s="17" t="s">
        <v>6</v>
      </c>
    </row>
    <row r="13" spans="1:30" ht="26.25" customHeight="1" x14ac:dyDescent="0.3">
      <c r="C13" s="123" t="s">
        <v>31</v>
      </c>
      <c r="D13" s="124"/>
      <c r="E13" s="124"/>
      <c r="F13" s="125"/>
    </row>
    <row r="14" spans="1:30" ht="26.25" customHeight="1" x14ac:dyDescent="0.3">
      <c r="B14" s="20"/>
      <c r="C14" s="20"/>
      <c r="D14" s="20"/>
      <c r="E14" s="20"/>
      <c r="F14" s="20"/>
      <c r="G14" s="20"/>
      <c r="H14" s="21"/>
      <c r="I14" s="21"/>
      <c r="J14" s="21"/>
      <c r="K14" s="20"/>
      <c r="L14" s="21"/>
      <c r="M14" s="20"/>
      <c r="N14" s="21"/>
      <c r="O14" s="20"/>
      <c r="P14" s="21"/>
      <c r="Q14" s="20"/>
      <c r="R14" s="21"/>
      <c r="S14" s="20"/>
      <c r="T14" s="21"/>
      <c r="U14" s="20"/>
      <c r="V14" s="21"/>
      <c r="W14" s="20"/>
      <c r="X14" s="21"/>
      <c r="Y14" s="20"/>
      <c r="Z14" s="21"/>
      <c r="AA14" s="20"/>
    </row>
    <row r="15" spans="1:30" ht="26.25" customHeight="1" thickBot="1" x14ac:dyDescent="0.35"/>
    <row r="16" spans="1:30" ht="26.25" customHeight="1" thickBot="1" x14ac:dyDescent="0.35">
      <c r="D16" s="126" t="s">
        <v>5</v>
      </c>
      <c r="E16" s="126"/>
      <c r="I16" s="127" t="s">
        <v>0</v>
      </c>
      <c r="J16" s="1"/>
      <c r="K16" s="12" t="s">
        <v>2</v>
      </c>
      <c r="L16" s="1"/>
      <c r="M16" s="12" t="s">
        <v>14</v>
      </c>
      <c r="N16" s="1"/>
      <c r="P16" s="1"/>
      <c r="R16" s="1"/>
      <c r="T16" s="1"/>
      <c r="U16" s="12" t="s">
        <v>7</v>
      </c>
      <c r="V16" s="1"/>
      <c r="W16" s="12" t="s">
        <v>10</v>
      </c>
      <c r="X16" s="1"/>
      <c r="Z16" s="1"/>
      <c r="AA16" s="12" t="s">
        <v>12</v>
      </c>
    </row>
    <row r="17" spans="2:27" ht="26.25" customHeight="1" x14ac:dyDescent="0.3">
      <c r="C17" s="2"/>
      <c r="D17" s="3"/>
      <c r="E17" s="3"/>
      <c r="F17" s="4"/>
      <c r="I17" s="128"/>
      <c r="J17" s="1"/>
      <c r="K17" s="13" t="s">
        <v>3</v>
      </c>
      <c r="L17" s="1"/>
      <c r="M17" s="13" t="s">
        <v>3</v>
      </c>
      <c r="N17" s="1"/>
      <c r="P17" s="1"/>
      <c r="R17" s="1"/>
      <c r="T17" s="1"/>
      <c r="U17" s="13" t="s">
        <v>3</v>
      </c>
      <c r="V17" s="1"/>
      <c r="W17" s="13" t="s">
        <v>3</v>
      </c>
      <c r="X17" s="1"/>
      <c r="Z17" s="1"/>
      <c r="AA17" s="13" t="s">
        <v>3</v>
      </c>
    </row>
    <row r="18" spans="2:27" ht="26.25" customHeight="1" thickBot="1" x14ac:dyDescent="0.35">
      <c r="C18" s="5"/>
      <c r="F18" s="6"/>
      <c r="I18" s="129"/>
      <c r="J18" s="1"/>
      <c r="K18" s="14" t="s">
        <v>4</v>
      </c>
      <c r="L18" s="1"/>
      <c r="M18" s="14" t="s">
        <v>4</v>
      </c>
      <c r="N18" s="1"/>
      <c r="P18" s="1"/>
      <c r="R18" s="1"/>
      <c r="T18" s="1"/>
      <c r="U18" s="14" t="s">
        <v>4</v>
      </c>
      <c r="V18" s="1"/>
      <c r="W18" s="14" t="s">
        <v>4</v>
      </c>
      <c r="X18" s="1"/>
      <c r="Z18" s="1"/>
      <c r="AA18" s="14" t="s">
        <v>4</v>
      </c>
    </row>
    <row r="19" spans="2:27" ht="26.25" customHeight="1" thickBot="1" x14ac:dyDescent="0.35">
      <c r="B19" s="130" t="s">
        <v>3</v>
      </c>
      <c r="C19" s="27"/>
      <c r="D19" s="29"/>
      <c r="E19" s="29"/>
      <c r="F19" s="28"/>
      <c r="G19" s="131" t="s">
        <v>4</v>
      </c>
    </row>
    <row r="20" spans="2:27" ht="26.25" customHeight="1" x14ac:dyDescent="0.3">
      <c r="B20" s="130"/>
      <c r="C20" s="5"/>
      <c r="D20" s="132" t="s">
        <v>13</v>
      </c>
      <c r="E20" s="133"/>
      <c r="F20" s="6"/>
      <c r="G20" s="131"/>
      <c r="I20" s="134" t="s">
        <v>1</v>
      </c>
      <c r="J20" s="1"/>
      <c r="K20" s="15" t="s">
        <v>2</v>
      </c>
      <c r="L20" s="1"/>
      <c r="N20" s="1"/>
      <c r="O20" s="15" t="s">
        <v>8</v>
      </c>
      <c r="P20" s="1"/>
      <c r="Q20" s="15" t="s">
        <v>9</v>
      </c>
      <c r="R20" s="1"/>
      <c r="S20" s="15" t="s">
        <v>11</v>
      </c>
      <c r="T20" s="1"/>
      <c r="V20" s="1"/>
      <c r="X20" s="1"/>
      <c r="Y20" s="15" t="s">
        <v>15</v>
      </c>
      <c r="Z20" s="1"/>
      <c r="AA20" s="15" t="s">
        <v>12</v>
      </c>
    </row>
    <row r="21" spans="2:27" ht="26.25" customHeight="1" x14ac:dyDescent="0.3">
      <c r="C21" s="7"/>
      <c r="D21" s="8"/>
      <c r="E21" s="8"/>
      <c r="F21" s="6"/>
      <c r="G21" s="8"/>
      <c r="I21" s="135"/>
      <c r="J21" s="1"/>
      <c r="K21" s="16" t="s">
        <v>5</v>
      </c>
      <c r="L21" s="1"/>
      <c r="N21" s="1"/>
      <c r="O21" s="16"/>
      <c r="P21" s="1"/>
      <c r="Q21" s="16" t="s">
        <v>5</v>
      </c>
      <c r="R21" s="1"/>
      <c r="S21" s="16" t="s">
        <v>5</v>
      </c>
      <c r="T21" s="1"/>
      <c r="V21" s="1"/>
      <c r="X21" s="1"/>
      <c r="Y21" s="16"/>
      <c r="Z21" s="1"/>
      <c r="AA21" s="16" t="s">
        <v>5</v>
      </c>
    </row>
    <row r="22" spans="2:27" ht="26.25" customHeight="1" thickBot="1" x14ac:dyDescent="0.35">
      <c r="C22" s="9"/>
      <c r="D22" s="10"/>
      <c r="E22" s="10"/>
      <c r="F22" s="11"/>
      <c r="I22" s="135"/>
      <c r="J22" s="1"/>
      <c r="K22" s="16" t="s">
        <v>6</v>
      </c>
      <c r="L22" s="1"/>
      <c r="N22" s="1"/>
      <c r="O22" s="16" t="s">
        <v>6</v>
      </c>
      <c r="P22" s="1"/>
      <c r="Q22" s="16" t="s">
        <v>6</v>
      </c>
      <c r="R22" s="1"/>
      <c r="S22" s="16"/>
      <c r="T22" s="1"/>
      <c r="V22" s="1"/>
      <c r="X22" s="1"/>
      <c r="Y22" s="16"/>
      <c r="Z22" s="1"/>
      <c r="AA22" s="16" t="s">
        <v>6</v>
      </c>
    </row>
    <row r="23" spans="2:27" ht="26.25" customHeight="1" thickBot="1" x14ac:dyDescent="0.35">
      <c r="D23" s="137" t="s">
        <v>6</v>
      </c>
      <c r="E23" s="137"/>
      <c r="I23" s="136"/>
      <c r="K23" s="17" t="s">
        <v>13</v>
      </c>
      <c r="L23" s="1"/>
      <c r="N23" s="1"/>
      <c r="O23" s="17" t="s">
        <v>13</v>
      </c>
      <c r="P23" s="1"/>
      <c r="Q23" s="17" t="s">
        <v>13</v>
      </c>
      <c r="R23" s="1"/>
      <c r="S23" s="17" t="s">
        <v>13</v>
      </c>
      <c r="T23" s="1"/>
      <c r="V23" s="1"/>
      <c r="X23" s="1"/>
      <c r="Y23" s="17" t="s">
        <v>13</v>
      </c>
      <c r="Z23" s="1"/>
      <c r="AA23" s="17" t="s">
        <v>13</v>
      </c>
    </row>
    <row r="24" spans="2:27" ht="26.25" customHeight="1" x14ac:dyDescent="0.3">
      <c r="C24" s="123" t="s">
        <v>30</v>
      </c>
      <c r="D24" s="124"/>
      <c r="E24" s="124"/>
      <c r="F24" s="125"/>
    </row>
    <row r="25" spans="2:27" ht="26.25" customHeight="1" x14ac:dyDescent="0.3">
      <c r="B25" s="20"/>
      <c r="C25" s="20"/>
      <c r="D25" s="20"/>
      <c r="E25" s="20"/>
      <c r="F25" s="20"/>
      <c r="G25" s="20"/>
      <c r="H25" s="21"/>
      <c r="I25" s="21"/>
      <c r="J25" s="21"/>
      <c r="K25" s="20"/>
      <c r="L25" s="21"/>
      <c r="M25" s="20"/>
      <c r="N25" s="21"/>
      <c r="O25" s="20"/>
      <c r="P25" s="21"/>
      <c r="Q25" s="20"/>
      <c r="R25" s="21"/>
      <c r="S25" s="20"/>
      <c r="T25" s="21"/>
      <c r="U25" s="20"/>
      <c r="V25" s="21"/>
      <c r="W25" s="20"/>
      <c r="X25" s="21"/>
      <c r="Y25" s="20"/>
      <c r="Z25" s="21"/>
      <c r="AA25" s="20"/>
    </row>
    <row r="26" spans="2:27" ht="26.25" customHeight="1" thickBot="1" x14ac:dyDescent="0.35"/>
    <row r="27" spans="2:27" ht="26.25" customHeight="1" thickBot="1" x14ac:dyDescent="0.35">
      <c r="D27" s="126" t="s">
        <v>5</v>
      </c>
      <c r="E27" s="126"/>
      <c r="I27" s="127" t="s">
        <v>0</v>
      </c>
      <c r="J27" s="1"/>
      <c r="K27" s="12" t="s">
        <v>2</v>
      </c>
      <c r="L27" s="1"/>
      <c r="N27" s="1"/>
      <c r="P27" s="1"/>
      <c r="R27" s="1"/>
      <c r="T27" s="1"/>
      <c r="U27" s="12" t="s">
        <v>7</v>
      </c>
      <c r="V27" s="1"/>
      <c r="W27" s="12" t="s">
        <v>10</v>
      </c>
      <c r="X27" s="1"/>
      <c r="Y27" s="12" t="s">
        <v>15</v>
      </c>
      <c r="Z27" s="1"/>
      <c r="AA27" s="12" t="s">
        <v>12</v>
      </c>
    </row>
    <row r="28" spans="2:27" ht="26.25" customHeight="1" x14ac:dyDescent="0.3">
      <c r="C28" s="2"/>
      <c r="D28" s="38"/>
      <c r="E28" s="3"/>
      <c r="F28" s="4"/>
      <c r="I28" s="128"/>
      <c r="J28" s="1"/>
      <c r="K28" s="13" t="s">
        <v>3</v>
      </c>
      <c r="L28" s="1"/>
      <c r="N28" s="1"/>
      <c r="P28" s="1"/>
      <c r="R28" s="1"/>
      <c r="T28" s="1"/>
      <c r="U28" s="13" t="s">
        <v>3</v>
      </c>
      <c r="V28" s="1"/>
      <c r="W28" s="13" t="s">
        <v>3</v>
      </c>
      <c r="X28" s="1"/>
      <c r="Y28" s="13"/>
      <c r="Z28" s="1"/>
      <c r="AA28" s="13" t="s">
        <v>3</v>
      </c>
    </row>
    <row r="29" spans="2:27" ht="26.25" customHeight="1" x14ac:dyDescent="0.3">
      <c r="C29" s="5"/>
      <c r="D29" s="39"/>
      <c r="F29" s="6"/>
      <c r="I29" s="128"/>
      <c r="J29" s="1"/>
      <c r="K29" s="13" t="s">
        <v>4</v>
      </c>
      <c r="L29" s="1"/>
      <c r="N29" s="1"/>
      <c r="P29" s="1"/>
      <c r="R29" s="1"/>
      <c r="T29" s="1"/>
      <c r="U29" s="13" t="s">
        <v>4</v>
      </c>
      <c r="V29" s="1"/>
      <c r="W29" s="13" t="s">
        <v>4</v>
      </c>
      <c r="X29" s="1"/>
      <c r="Y29" s="13"/>
      <c r="Z29" s="1"/>
      <c r="AA29" s="13" t="s">
        <v>4</v>
      </c>
    </row>
    <row r="30" spans="2:27" ht="26.25" customHeight="1" thickBot="1" x14ac:dyDescent="0.35">
      <c r="B30" s="130" t="s">
        <v>3</v>
      </c>
      <c r="C30" s="5"/>
      <c r="D30" s="39"/>
      <c r="E30" s="132" t="s">
        <v>28</v>
      </c>
      <c r="F30" s="6"/>
      <c r="G30" s="131" t="s">
        <v>4</v>
      </c>
      <c r="I30" s="129"/>
      <c r="K30" s="14" t="s">
        <v>28</v>
      </c>
      <c r="U30" s="14"/>
      <c r="W30" s="14"/>
      <c r="Y30" s="14" t="s">
        <v>28</v>
      </c>
      <c r="AA30" s="14" t="s">
        <v>28</v>
      </c>
    </row>
    <row r="31" spans="2:27" ht="26.25" customHeight="1" thickBot="1" x14ac:dyDescent="0.35">
      <c r="B31" s="130"/>
      <c r="C31" s="5"/>
      <c r="D31" s="39"/>
      <c r="E31" s="133"/>
      <c r="F31" s="6"/>
      <c r="G31" s="131"/>
    </row>
    <row r="32" spans="2:27" ht="26.25" customHeight="1" x14ac:dyDescent="0.3">
      <c r="C32" s="7"/>
      <c r="D32" s="40"/>
      <c r="E32" s="8"/>
      <c r="F32" s="6"/>
      <c r="G32" s="8"/>
      <c r="I32" s="134" t="s">
        <v>1</v>
      </c>
      <c r="J32" s="1"/>
      <c r="K32" s="15" t="s">
        <v>2</v>
      </c>
      <c r="L32" s="1"/>
      <c r="M32" s="15" t="s">
        <v>14</v>
      </c>
      <c r="N32" s="1"/>
      <c r="O32" s="15" t="s">
        <v>8</v>
      </c>
      <c r="P32" s="1"/>
      <c r="Q32" s="15" t="s">
        <v>9</v>
      </c>
      <c r="R32" s="1"/>
      <c r="S32" s="15" t="s">
        <v>11</v>
      </c>
      <c r="T32" s="1"/>
      <c r="V32" s="1"/>
      <c r="X32" s="1"/>
      <c r="Z32" s="1"/>
      <c r="AA32" s="15" t="s">
        <v>12</v>
      </c>
    </row>
    <row r="33" spans="2:27" ht="26.25" customHeight="1" thickBot="1" x14ac:dyDescent="0.35">
      <c r="C33" s="9"/>
      <c r="D33" s="41"/>
      <c r="E33" s="10"/>
      <c r="F33" s="11"/>
      <c r="I33" s="135"/>
      <c r="J33" s="1"/>
      <c r="K33" s="16" t="s">
        <v>5</v>
      </c>
      <c r="L33" s="1"/>
      <c r="M33" s="16" t="s">
        <v>5</v>
      </c>
      <c r="N33" s="1"/>
      <c r="O33" s="16"/>
      <c r="P33" s="1"/>
      <c r="Q33" s="16" t="s">
        <v>5</v>
      </c>
      <c r="R33" s="1"/>
      <c r="S33" s="16" t="s">
        <v>5</v>
      </c>
      <c r="T33" s="1"/>
      <c r="V33" s="1"/>
      <c r="X33" s="1"/>
      <c r="Z33" s="1"/>
      <c r="AA33" s="16" t="s">
        <v>5</v>
      </c>
    </row>
    <row r="34" spans="2:27" ht="26.25" customHeight="1" thickBot="1" x14ac:dyDescent="0.35">
      <c r="D34" s="138" t="s">
        <v>6</v>
      </c>
      <c r="E34" s="138"/>
      <c r="I34" s="136"/>
      <c r="J34" s="1"/>
      <c r="K34" s="17" t="s">
        <v>6</v>
      </c>
      <c r="L34" s="1"/>
      <c r="M34" s="17" t="s">
        <v>6</v>
      </c>
      <c r="N34" s="1"/>
      <c r="O34" s="17" t="s">
        <v>6</v>
      </c>
      <c r="P34" s="1"/>
      <c r="Q34" s="17" t="s">
        <v>6</v>
      </c>
      <c r="R34" s="1"/>
      <c r="S34" s="17"/>
      <c r="T34" s="1"/>
      <c r="V34" s="1"/>
      <c r="X34" s="1"/>
      <c r="Z34" s="1"/>
      <c r="AA34" s="17" t="s">
        <v>6</v>
      </c>
    </row>
    <row r="35" spans="2:27" ht="26.25" customHeight="1" x14ac:dyDescent="0.3">
      <c r="C35" s="123" t="s">
        <v>29</v>
      </c>
      <c r="D35" s="124"/>
      <c r="E35" s="124"/>
      <c r="F35" s="125"/>
      <c r="L35" s="1"/>
      <c r="N35" s="1"/>
      <c r="P35" s="1"/>
      <c r="R35" s="1"/>
      <c r="T35" s="1"/>
      <c r="V35" s="1"/>
      <c r="X35" s="1"/>
      <c r="Z35" s="1"/>
    </row>
    <row r="36" spans="2:27" ht="26.25" customHeight="1" x14ac:dyDescent="0.3">
      <c r="B36" s="20"/>
      <c r="C36" s="20"/>
      <c r="D36" s="20"/>
      <c r="E36" s="20"/>
      <c r="F36" s="20"/>
      <c r="G36" s="20"/>
      <c r="H36" s="21"/>
      <c r="I36" s="21"/>
      <c r="J36" s="21"/>
      <c r="K36" s="20"/>
      <c r="L36" s="21"/>
      <c r="M36" s="20"/>
      <c r="N36" s="21"/>
      <c r="O36" s="20"/>
      <c r="P36" s="21"/>
      <c r="Q36" s="20"/>
      <c r="R36" s="21"/>
      <c r="S36" s="20"/>
      <c r="T36" s="21"/>
      <c r="U36" s="20"/>
      <c r="V36" s="21"/>
      <c r="W36" s="20"/>
      <c r="X36" s="21"/>
      <c r="Y36" s="20"/>
      <c r="Z36" s="21"/>
      <c r="AA36" s="20"/>
    </row>
    <row r="37" spans="2:27" ht="26.25" customHeight="1" thickBot="1" x14ac:dyDescent="0.35"/>
    <row r="38" spans="2:27" ht="26.25" customHeight="1" thickBot="1" x14ac:dyDescent="0.35">
      <c r="D38" s="126" t="s">
        <v>5</v>
      </c>
      <c r="E38" s="126"/>
      <c r="I38" s="127" t="s">
        <v>0</v>
      </c>
      <c r="J38" s="1"/>
      <c r="K38" s="12" t="s">
        <v>2</v>
      </c>
      <c r="L38" s="1"/>
      <c r="M38" s="12" t="s">
        <v>14</v>
      </c>
      <c r="N38" s="1"/>
      <c r="P38" s="1"/>
      <c r="R38" s="1"/>
      <c r="T38" s="1"/>
      <c r="U38" s="12" t="s">
        <v>7</v>
      </c>
      <c r="V38" s="1"/>
      <c r="W38" s="12" t="s">
        <v>10</v>
      </c>
      <c r="X38" s="1"/>
      <c r="Y38" s="12" t="s">
        <v>15</v>
      </c>
      <c r="Z38" s="1"/>
      <c r="AA38" s="12" t="s">
        <v>12</v>
      </c>
    </row>
    <row r="39" spans="2:27" ht="26.25" customHeight="1" x14ac:dyDescent="0.3">
      <c r="C39" s="2"/>
      <c r="D39" s="3"/>
      <c r="E39" s="30"/>
      <c r="F39" s="4"/>
      <c r="I39" s="128"/>
      <c r="J39" s="1"/>
      <c r="K39" s="13" t="s">
        <v>3</v>
      </c>
      <c r="L39" s="1"/>
      <c r="M39" s="13" t="s">
        <v>3</v>
      </c>
      <c r="N39" s="1"/>
      <c r="P39" s="1"/>
      <c r="R39" s="1"/>
      <c r="T39" s="1"/>
      <c r="U39" s="13" t="s">
        <v>3</v>
      </c>
      <c r="V39" s="1"/>
      <c r="W39" s="13" t="s">
        <v>3</v>
      </c>
      <c r="X39" s="1"/>
      <c r="Y39" s="13" t="s">
        <v>16</v>
      </c>
      <c r="Z39" s="1"/>
      <c r="AA39" s="13" t="s">
        <v>3</v>
      </c>
    </row>
    <row r="40" spans="2:27" ht="26.25" customHeight="1" x14ac:dyDescent="0.3">
      <c r="C40" s="5"/>
      <c r="D40" s="36" t="s">
        <v>16</v>
      </c>
      <c r="E40" s="31"/>
      <c r="F40" s="6"/>
      <c r="I40" s="128"/>
      <c r="J40" s="1"/>
      <c r="K40" s="13" t="s">
        <v>4</v>
      </c>
      <c r="L40" s="1"/>
      <c r="M40" s="13" t="s">
        <v>4</v>
      </c>
      <c r="N40" s="1"/>
      <c r="P40" s="1"/>
      <c r="R40" s="1"/>
      <c r="T40" s="1"/>
      <c r="U40" s="13" t="s">
        <v>4</v>
      </c>
      <c r="V40" s="1"/>
      <c r="W40" s="13" t="s">
        <v>4</v>
      </c>
      <c r="X40" s="1"/>
      <c r="Y40" s="13" t="s">
        <v>17</v>
      </c>
      <c r="Z40" s="1"/>
      <c r="AA40" s="13" t="s">
        <v>4</v>
      </c>
    </row>
    <row r="41" spans="2:27" ht="26.25" customHeight="1" thickBot="1" x14ac:dyDescent="0.35">
      <c r="B41" s="130" t="s">
        <v>3</v>
      </c>
      <c r="C41" s="27"/>
      <c r="D41" s="29"/>
      <c r="E41" s="32"/>
      <c r="F41" s="28"/>
      <c r="G41" s="131" t="s">
        <v>4</v>
      </c>
      <c r="I41" s="128"/>
      <c r="K41" s="13" t="s">
        <v>16</v>
      </c>
      <c r="L41" s="1"/>
      <c r="M41" s="13"/>
      <c r="N41" s="1"/>
      <c r="P41" s="1"/>
      <c r="R41" s="1"/>
      <c r="T41" s="1"/>
      <c r="U41" s="13"/>
      <c r="V41" s="1"/>
      <c r="W41" s="13"/>
      <c r="X41" s="1"/>
      <c r="Y41" s="13"/>
      <c r="Z41" s="1"/>
      <c r="AA41" s="13" t="s">
        <v>16</v>
      </c>
    </row>
    <row r="42" spans="2:27" ht="26.25" customHeight="1" thickBot="1" x14ac:dyDescent="0.35">
      <c r="B42" s="130"/>
      <c r="C42" s="5"/>
      <c r="E42" s="37" t="s">
        <v>13</v>
      </c>
      <c r="F42" s="6"/>
      <c r="G42" s="131"/>
      <c r="I42" s="129"/>
      <c r="K42" s="14" t="s">
        <v>17</v>
      </c>
      <c r="L42" s="1"/>
      <c r="M42" s="14"/>
      <c r="N42" s="1"/>
      <c r="P42" s="1"/>
      <c r="R42" s="1"/>
      <c r="T42" s="1"/>
      <c r="U42" s="14"/>
      <c r="V42" s="1"/>
      <c r="W42" s="14"/>
      <c r="X42" s="1"/>
      <c r="Y42" s="14"/>
      <c r="Z42" s="1"/>
      <c r="AA42" s="14" t="s">
        <v>17</v>
      </c>
    </row>
    <row r="43" spans="2:27" ht="26.25" customHeight="1" thickBot="1" x14ac:dyDescent="0.35">
      <c r="C43" s="7"/>
      <c r="D43" s="35" t="s">
        <v>17</v>
      </c>
      <c r="E43" s="33"/>
      <c r="F43" s="6"/>
      <c r="G43" s="8"/>
    </row>
    <row r="44" spans="2:27" ht="26.25" customHeight="1" thickBot="1" x14ac:dyDescent="0.35">
      <c r="C44" s="9"/>
      <c r="D44" s="10"/>
      <c r="E44" s="34"/>
      <c r="F44" s="11"/>
      <c r="I44" s="134" t="s">
        <v>1</v>
      </c>
      <c r="J44" s="1"/>
      <c r="K44" s="15" t="s">
        <v>2</v>
      </c>
      <c r="L44" s="1"/>
      <c r="M44" s="15" t="s">
        <v>14</v>
      </c>
      <c r="N44" s="1"/>
      <c r="O44" s="15" t="s">
        <v>8</v>
      </c>
      <c r="P44" s="1"/>
      <c r="Q44" s="15" t="s">
        <v>9</v>
      </c>
      <c r="R44" s="1"/>
      <c r="S44" s="15" t="s">
        <v>11</v>
      </c>
      <c r="T44" s="1"/>
      <c r="V44" s="1"/>
      <c r="X44" s="1"/>
      <c r="Y44" s="15" t="s">
        <v>15</v>
      </c>
      <c r="Z44" s="1"/>
      <c r="AA44" s="15" t="s">
        <v>12</v>
      </c>
    </row>
    <row r="45" spans="2:27" ht="26.25" customHeight="1" x14ac:dyDescent="0.3">
      <c r="D45" s="137" t="s">
        <v>6</v>
      </c>
      <c r="E45" s="137"/>
      <c r="I45" s="135"/>
      <c r="J45" s="1"/>
      <c r="K45" s="16" t="s">
        <v>5</v>
      </c>
      <c r="L45" s="1"/>
      <c r="M45" s="16" t="s">
        <v>5</v>
      </c>
      <c r="N45" s="1"/>
      <c r="O45" s="16"/>
      <c r="P45" s="1"/>
      <c r="Q45" s="16" t="s">
        <v>5</v>
      </c>
      <c r="R45" s="1"/>
      <c r="S45" s="16" t="s">
        <v>5</v>
      </c>
      <c r="T45" s="1"/>
      <c r="V45" s="1"/>
      <c r="X45" s="1"/>
      <c r="Y45" s="16"/>
      <c r="Z45" s="1"/>
      <c r="AA45" s="16" t="s">
        <v>5</v>
      </c>
    </row>
    <row r="46" spans="2:27" ht="26.25" customHeight="1" x14ac:dyDescent="0.3">
      <c r="C46" s="123" t="s">
        <v>32</v>
      </c>
      <c r="D46" s="124"/>
      <c r="E46" s="124"/>
      <c r="F46" s="125"/>
      <c r="I46" s="135"/>
      <c r="J46" s="1"/>
      <c r="K46" s="16" t="s">
        <v>6</v>
      </c>
      <c r="L46" s="1"/>
      <c r="M46" s="16" t="s">
        <v>6</v>
      </c>
      <c r="N46" s="1"/>
      <c r="O46" s="16" t="s">
        <v>6</v>
      </c>
      <c r="P46" s="1"/>
      <c r="Q46" s="16" t="s">
        <v>6</v>
      </c>
      <c r="R46" s="1"/>
      <c r="S46" s="16"/>
      <c r="T46" s="1"/>
      <c r="V46" s="1"/>
      <c r="X46" s="1"/>
      <c r="Y46" s="16"/>
      <c r="Z46" s="1"/>
      <c r="AA46" s="16" t="s">
        <v>6</v>
      </c>
    </row>
    <row r="47" spans="2:27" ht="26.25" customHeight="1" thickBot="1" x14ac:dyDescent="0.35">
      <c r="I47" s="136"/>
      <c r="K47" s="17" t="s">
        <v>13</v>
      </c>
      <c r="L47" s="1"/>
      <c r="M47" s="17" t="s">
        <v>13</v>
      </c>
      <c r="N47" s="1"/>
      <c r="O47" s="17" t="s">
        <v>13</v>
      </c>
      <c r="P47" s="1"/>
      <c r="Q47" s="17" t="s">
        <v>13</v>
      </c>
      <c r="R47" s="1"/>
      <c r="S47" s="17" t="s">
        <v>13</v>
      </c>
      <c r="T47" s="1"/>
      <c r="V47" s="1"/>
      <c r="X47" s="1"/>
      <c r="Y47" s="17" t="s">
        <v>13</v>
      </c>
      <c r="Z47" s="1"/>
      <c r="AA47" s="17" t="s">
        <v>13</v>
      </c>
    </row>
    <row r="48" spans="2:27" ht="26.25" customHeight="1" x14ac:dyDescent="0.3">
      <c r="B48" s="20"/>
      <c r="C48" s="20"/>
      <c r="D48" s="20"/>
      <c r="E48" s="20"/>
      <c r="F48" s="20"/>
      <c r="G48" s="20"/>
      <c r="H48" s="21"/>
      <c r="I48" s="21"/>
      <c r="J48" s="21"/>
      <c r="K48" s="20"/>
      <c r="L48" s="21"/>
      <c r="M48" s="20"/>
      <c r="N48" s="21"/>
      <c r="O48" s="20"/>
      <c r="P48" s="21"/>
      <c r="Q48" s="20"/>
      <c r="R48" s="21"/>
      <c r="S48" s="20"/>
      <c r="T48" s="21"/>
      <c r="U48" s="20"/>
      <c r="V48" s="21"/>
      <c r="W48" s="20"/>
      <c r="X48" s="21"/>
      <c r="Y48" s="20"/>
      <c r="Z48" s="21"/>
      <c r="AA48" s="20"/>
    </row>
    <row r="49" spans="2:27" ht="26.25" customHeight="1" thickBot="1" x14ac:dyDescent="0.35"/>
    <row r="50" spans="2:27" ht="26.25" customHeight="1" thickBot="1" x14ac:dyDescent="0.35">
      <c r="D50" s="126" t="s">
        <v>5</v>
      </c>
      <c r="E50" s="126"/>
      <c r="I50" s="127" t="s">
        <v>0</v>
      </c>
      <c r="J50" s="1"/>
      <c r="K50" s="12" t="s">
        <v>2</v>
      </c>
      <c r="L50" s="1"/>
      <c r="N50" s="1"/>
      <c r="P50" s="1"/>
      <c r="R50" s="1"/>
      <c r="T50" s="1"/>
      <c r="U50" s="12" t="s">
        <v>7</v>
      </c>
      <c r="V50" s="1"/>
      <c r="W50" s="12" t="s">
        <v>10</v>
      </c>
      <c r="X50" s="1"/>
      <c r="Z50" s="1"/>
      <c r="AA50" s="12" t="s">
        <v>12</v>
      </c>
    </row>
    <row r="51" spans="2:27" ht="26.25" customHeight="1" x14ac:dyDescent="0.3">
      <c r="C51" s="2"/>
      <c r="D51" s="3"/>
      <c r="E51" s="3"/>
      <c r="F51" s="4"/>
      <c r="I51" s="128"/>
      <c r="J51" s="1"/>
      <c r="K51" s="13" t="s">
        <v>3</v>
      </c>
      <c r="L51" s="1"/>
      <c r="N51" s="1"/>
      <c r="P51" s="1"/>
      <c r="R51" s="1"/>
      <c r="T51" s="1"/>
      <c r="U51" s="13" t="s">
        <v>3</v>
      </c>
      <c r="V51" s="1"/>
      <c r="W51" s="13" t="s">
        <v>3</v>
      </c>
      <c r="X51" s="1"/>
      <c r="Z51" s="1"/>
      <c r="AA51" s="13" t="s">
        <v>3</v>
      </c>
    </row>
    <row r="52" spans="2:27" ht="26.25" customHeight="1" thickBot="1" x14ac:dyDescent="0.35">
      <c r="C52" s="5"/>
      <c r="F52" s="6"/>
      <c r="I52" s="129"/>
      <c r="J52" s="1"/>
      <c r="K52" s="14" t="s">
        <v>4</v>
      </c>
      <c r="L52" s="1"/>
      <c r="N52" s="1"/>
      <c r="P52" s="1"/>
      <c r="R52" s="1"/>
      <c r="T52" s="1"/>
      <c r="U52" s="14" t="s">
        <v>4</v>
      </c>
      <c r="V52" s="1"/>
      <c r="W52" s="14" t="s">
        <v>4</v>
      </c>
      <c r="X52" s="1"/>
      <c r="Z52" s="1"/>
      <c r="AA52" s="14" t="s">
        <v>4</v>
      </c>
    </row>
    <row r="53" spans="2:27" ht="26.25" customHeight="1" thickBot="1" x14ac:dyDescent="0.35">
      <c r="B53" s="1" t="s">
        <v>3</v>
      </c>
      <c r="C53" s="5"/>
      <c r="F53" s="6"/>
      <c r="G53" s="1" t="s">
        <v>4</v>
      </c>
    </row>
    <row r="54" spans="2:27" ht="26.25" customHeight="1" x14ac:dyDescent="0.3">
      <c r="C54" s="7"/>
      <c r="D54" s="8"/>
      <c r="E54" s="8"/>
      <c r="F54" s="6"/>
      <c r="G54" s="8"/>
      <c r="I54" s="134" t="s">
        <v>1</v>
      </c>
      <c r="J54" s="1"/>
      <c r="K54" s="15" t="s">
        <v>2</v>
      </c>
      <c r="L54" s="1"/>
      <c r="N54" s="1"/>
      <c r="O54" s="15" t="s">
        <v>8</v>
      </c>
      <c r="P54" s="1"/>
      <c r="Q54" s="15" t="s">
        <v>9</v>
      </c>
      <c r="R54" s="1"/>
      <c r="T54" s="1"/>
      <c r="V54" s="1"/>
      <c r="X54" s="1"/>
      <c r="Z54" s="1"/>
      <c r="AA54" s="15" t="s">
        <v>12</v>
      </c>
    </row>
    <row r="55" spans="2:27" ht="26.25" customHeight="1" thickBot="1" x14ac:dyDescent="0.35">
      <c r="C55" s="9"/>
      <c r="D55" s="10"/>
      <c r="E55" s="10"/>
      <c r="F55" s="11"/>
      <c r="I55" s="135"/>
      <c r="J55" s="1"/>
      <c r="K55" s="16" t="s">
        <v>5</v>
      </c>
      <c r="L55" s="1"/>
      <c r="N55" s="1"/>
      <c r="O55" s="16"/>
      <c r="P55" s="1"/>
      <c r="Q55" s="16" t="s">
        <v>5</v>
      </c>
      <c r="R55" s="1"/>
      <c r="T55" s="1"/>
      <c r="V55" s="1"/>
      <c r="X55" s="1"/>
      <c r="Z55" s="1"/>
      <c r="AA55" s="16" t="s">
        <v>5</v>
      </c>
    </row>
    <row r="56" spans="2:27" ht="26.25" customHeight="1" thickBot="1" x14ac:dyDescent="0.35">
      <c r="D56" s="137" t="s">
        <v>6</v>
      </c>
      <c r="E56" s="137"/>
      <c r="I56" s="136"/>
      <c r="J56" s="1"/>
      <c r="K56" s="17" t="s">
        <v>6</v>
      </c>
      <c r="L56" s="1"/>
      <c r="N56" s="1"/>
      <c r="O56" s="17" t="s">
        <v>6</v>
      </c>
      <c r="P56" s="1"/>
      <c r="Q56" s="17" t="s">
        <v>6</v>
      </c>
      <c r="R56" s="1"/>
      <c r="T56" s="1"/>
      <c r="V56" s="1"/>
      <c r="X56" s="1"/>
      <c r="Z56" s="1"/>
      <c r="AA56" s="17" t="s">
        <v>6</v>
      </c>
    </row>
    <row r="57" spans="2:27" ht="26.25" customHeight="1" x14ac:dyDescent="0.3">
      <c r="C57" s="123" t="s">
        <v>35</v>
      </c>
      <c r="D57" s="124"/>
      <c r="E57" s="124"/>
      <c r="F57" s="125"/>
    </row>
    <row r="58" spans="2:27" ht="26.25" customHeight="1" x14ac:dyDescent="0.3">
      <c r="B58" s="20"/>
      <c r="C58" s="20"/>
      <c r="D58" s="20"/>
      <c r="E58" s="20"/>
      <c r="F58" s="20"/>
      <c r="G58" s="20"/>
      <c r="H58" s="21"/>
      <c r="I58" s="21"/>
      <c r="J58" s="21"/>
      <c r="K58" s="20"/>
      <c r="L58" s="21"/>
      <c r="M58" s="20"/>
      <c r="N58" s="21"/>
      <c r="O58" s="20"/>
      <c r="P58" s="21"/>
      <c r="Q58" s="20"/>
      <c r="R58" s="21"/>
      <c r="S58" s="20"/>
      <c r="T58" s="21"/>
      <c r="U58" s="20"/>
      <c r="V58" s="21"/>
      <c r="W58" s="20"/>
      <c r="X58" s="21"/>
      <c r="Y58" s="20"/>
      <c r="Z58" s="21"/>
      <c r="AA58" s="20"/>
    </row>
    <row r="59" spans="2:27" ht="26.25" customHeight="1" thickBot="1" x14ac:dyDescent="0.35"/>
    <row r="60" spans="2:27" ht="26.25" customHeight="1" thickBot="1" x14ac:dyDescent="0.35">
      <c r="D60" s="126" t="s">
        <v>5</v>
      </c>
      <c r="E60" s="126"/>
      <c r="I60" s="127" t="s">
        <v>0</v>
      </c>
      <c r="J60" s="1"/>
      <c r="K60" s="12" t="s">
        <v>2</v>
      </c>
      <c r="L60" s="1"/>
      <c r="M60" s="12" t="s">
        <v>14</v>
      </c>
      <c r="N60" s="1"/>
      <c r="P60" s="1"/>
      <c r="R60" s="1"/>
      <c r="T60" s="1"/>
      <c r="U60" s="12" t="s">
        <v>7</v>
      </c>
      <c r="V60" s="1"/>
      <c r="W60" s="12" t="s">
        <v>10</v>
      </c>
      <c r="X60" s="1"/>
      <c r="Z60" s="1"/>
      <c r="AA60" s="12" t="s">
        <v>12</v>
      </c>
    </row>
    <row r="61" spans="2:27" ht="26.25" customHeight="1" x14ac:dyDescent="0.3">
      <c r="C61" s="2"/>
      <c r="D61" s="3"/>
      <c r="E61" s="3"/>
      <c r="F61" s="4"/>
      <c r="I61" s="128"/>
      <c r="J61" s="1"/>
      <c r="K61" s="13" t="s">
        <v>3</v>
      </c>
      <c r="L61" s="1"/>
      <c r="M61" s="13" t="s">
        <v>3</v>
      </c>
      <c r="N61" s="1"/>
      <c r="P61" s="1"/>
      <c r="R61" s="1"/>
      <c r="T61" s="1"/>
      <c r="U61" s="13" t="s">
        <v>3</v>
      </c>
      <c r="V61" s="1"/>
      <c r="W61" s="13" t="s">
        <v>3</v>
      </c>
      <c r="X61" s="1"/>
      <c r="Z61" s="1"/>
      <c r="AA61" s="13" t="s">
        <v>3</v>
      </c>
    </row>
    <row r="62" spans="2:27" ht="26.25" customHeight="1" thickBot="1" x14ac:dyDescent="0.35">
      <c r="C62" s="5"/>
      <c r="F62" s="6"/>
      <c r="I62" s="129"/>
      <c r="J62" s="1"/>
      <c r="K62" s="14" t="s">
        <v>4</v>
      </c>
      <c r="L62" s="1"/>
      <c r="M62" s="14" t="s">
        <v>4</v>
      </c>
      <c r="N62" s="1"/>
      <c r="P62" s="1"/>
      <c r="R62" s="1"/>
      <c r="T62" s="1"/>
      <c r="U62" s="14" t="s">
        <v>4</v>
      </c>
      <c r="V62" s="1"/>
      <c r="W62" s="14" t="s">
        <v>4</v>
      </c>
      <c r="X62" s="1"/>
      <c r="Z62" s="1"/>
      <c r="AA62" s="14" t="s">
        <v>4</v>
      </c>
    </row>
    <row r="63" spans="2:27" ht="26.25" customHeight="1" thickBot="1" x14ac:dyDescent="0.35">
      <c r="B63" s="130" t="s">
        <v>3</v>
      </c>
      <c r="C63" s="27"/>
      <c r="D63" s="29"/>
      <c r="E63" s="29"/>
      <c r="F63" s="28"/>
      <c r="G63" s="131" t="s">
        <v>4</v>
      </c>
    </row>
    <row r="64" spans="2:27" ht="26.25" customHeight="1" x14ac:dyDescent="0.3">
      <c r="B64" s="130"/>
      <c r="C64" s="5"/>
      <c r="D64" s="132" t="s">
        <v>13</v>
      </c>
      <c r="E64" s="133"/>
      <c r="F64" s="6"/>
      <c r="G64" s="131"/>
      <c r="I64" s="134" t="s">
        <v>1</v>
      </c>
      <c r="J64" s="1"/>
      <c r="K64" s="15" t="s">
        <v>2</v>
      </c>
      <c r="L64" s="1"/>
      <c r="N64" s="1"/>
      <c r="O64" s="15" t="s">
        <v>8</v>
      </c>
      <c r="P64" s="1"/>
      <c r="Q64" s="15" t="s">
        <v>9</v>
      </c>
      <c r="R64" s="1"/>
      <c r="T64" s="1"/>
      <c r="V64" s="1"/>
      <c r="X64" s="1"/>
      <c r="Y64" s="15" t="s">
        <v>15</v>
      </c>
      <c r="Z64" s="1"/>
      <c r="AA64" s="15" t="s">
        <v>12</v>
      </c>
    </row>
    <row r="65" spans="2:27" ht="26.25" customHeight="1" x14ac:dyDescent="0.3">
      <c r="C65" s="7"/>
      <c r="D65" s="8"/>
      <c r="E65" s="8"/>
      <c r="F65" s="6"/>
      <c r="G65" s="8"/>
      <c r="I65" s="135"/>
      <c r="J65" s="1"/>
      <c r="K65" s="16" t="s">
        <v>5</v>
      </c>
      <c r="L65" s="1"/>
      <c r="N65" s="1"/>
      <c r="O65" s="16"/>
      <c r="P65" s="1"/>
      <c r="Q65" s="16" t="s">
        <v>5</v>
      </c>
      <c r="R65" s="1"/>
      <c r="T65" s="1"/>
      <c r="V65" s="1"/>
      <c r="X65" s="1"/>
      <c r="Y65" s="16"/>
      <c r="Z65" s="1"/>
      <c r="AA65" s="16" t="s">
        <v>5</v>
      </c>
    </row>
    <row r="66" spans="2:27" ht="26.25" customHeight="1" thickBot="1" x14ac:dyDescent="0.35">
      <c r="C66" s="9"/>
      <c r="D66" s="10"/>
      <c r="E66" s="10"/>
      <c r="F66" s="11"/>
      <c r="I66" s="135"/>
      <c r="J66" s="1"/>
      <c r="K66" s="16" t="s">
        <v>6</v>
      </c>
      <c r="L66" s="1"/>
      <c r="N66" s="1"/>
      <c r="O66" s="16" t="s">
        <v>6</v>
      </c>
      <c r="P66" s="1"/>
      <c r="Q66" s="16" t="s">
        <v>6</v>
      </c>
      <c r="R66" s="1"/>
      <c r="T66" s="1"/>
      <c r="V66" s="1"/>
      <c r="X66" s="1"/>
      <c r="Y66" s="16"/>
      <c r="Z66" s="1"/>
      <c r="AA66" s="16" t="s">
        <v>6</v>
      </c>
    </row>
    <row r="67" spans="2:27" ht="26.25" customHeight="1" thickBot="1" x14ac:dyDescent="0.35">
      <c r="D67" s="137" t="s">
        <v>6</v>
      </c>
      <c r="E67" s="137"/>
      <c r="I67" s="136"/>
      <c r="K67" s="17" t="s">
        <v>13</v>
      </c>
      <c r="L67" s="1"/>
      <c r="N67" s="1"/>
      <c r="O67" s="17" t="s">
        <v>13</v>
      </c>
      <c r="P67" s="1"/>
      <c r="Q67" s="17" t="s">
        <v>13</v>
      </c>
      <c r="R67" s="1"/>
      <c r="T67" s="1"/>
      <c r="V67" s="1"/>
      <c r="X67" s="1"/>
      <c r="Y67" s="17" t="s">
        <v>13</v>
      </c>
      <c r="Z67" s="1"/>
      <c r="AA67" s="17" t="s">
        <v>13</v>
      </c>
    </row>
    <row r="68" spans="2:27" ht="26.25" customHeight="1" x14ac:dyDescent="0.3">
      <c r="C68" s="123" t="s">
        <v>36</v>
      </c>
      <c r="D68" s="124"/>
      <c r="E68" s="124"/>
      <c r="F68" s="125"/>
    </row>
    <row r="69" spans="2:27" ht="26.25" customHeight="1" x14ac:dyDescent="0.3">
      <c r="B69" s="20"/>
      <c r="C69" s="20"/>
      <c r="D69" s="20"/>
      <c r="E69" s="20"/>
      <c r="F69" s="20"/>
      <c r="G69" s="20"/>
      <c r="H69" s="21"/>
      <c r="I69" s="21"/>
      <c r="J69" s="21"/>
      <c r="K69" s="20"/>
      <c r="L69" s="21"/>
      <c r="M69" s="20"/>
      <c r="N69" s="21"/>
      <c r="O69" s="20"/>
      <c r="P69" s="21"/>
      <c r="Q69" s="20"/>
      <c r="R69" s="21"/>
      <c r="S69" s="20"/>
      <c r="T69" s="21"/>
      <c r="U69" s="20"/>
      <c r="V69" s="21"/>
      <c r="W69" s="20"/>
      <c r="X69" s="21"/>
      <c r="Y69" s="20"/>
      <c r="Z69" s="21"/>
      <c r="AA69" s="20"/>
    </row>
  </sheetData>
  <mergeCells count="42">
    <mergeCell ref="A1:AA1"/>
    <mergeCell ref="D45:E45"/>
    <mergeCell ref="I44:I47"/>
    <mergeCell ref="I38:I42"/>
    <mergeCell ref="D6:E6"/>
    <mergeCell ref="D12:E12"/>
    <mergeCell ref="D16:E16"/>
    <mergeCell ref="D20:E20"/>
    <mergeCell ref="D23:E23"/>
    <mergeCell ref="I6:I8"/>
    <mergeCell ref="I10:I12"/>
    <mergeCell ref="I16:I18"/>
    <mergeCell ref="I20:I23"/>
    <mergeCell ref="C13:F13"/>
    <mergeCell ref="C24:F24"/>
    <mergeCell ref="C46:F46"/>
    <mergeCell ref="B19:B20"/>
    <mergeCell ref="G19:G20"/>
    <mergeCell ref="B41:B42"/>
    <mergeCell ref="G41:G42"/>
    <mergeCell ref="D38:E38"/>
    <mergeCell ref="D27:E27"/>
    <mergeCell ref="C35:F35"/>
    <mergeCell ref="B30:B31"/>
    <mergeCell ref="G30:G31"/>
    <mergeCell ref="D34:E34"/>
    <mergeCell ref="E30:E31"/>
    <mergeCell ref="D50:E50"/>
    <mergeCell ref="I50:I52"/>
    <mergeCell ref="I54:I56"/>
    <mergeCell ref="D56:E56"/>
    <mergeCell ref="I27:I30"/>
    <mergeCell ref="I32:I34"/>
    <mergeCell ref="C68:F68"/>
    <mergeCell ref="C57:F57"/>
    <mergeCell ref="D60:E60"/>
    <mergeCell ref="I60:I62"/>
    <mergeCell ref="B63:B64"/>
    <mergeCell ref="G63:G64"/>
    <mergeCell ref="D64:E64"/>
    <mergeCell ref="I64:I67"/>
    <mergeCell ref="D67:E67"/>
  </mergeCells>
  <phoneticPr fontId="1" type="noConversion"/>
  <pageMargins left="0.70866141732283472" right="0.70866141732283472" top="0.74803149606299213" bottom="0.74803149606299213" header="0.31496062992125984" footer="0.31496062992125984"/>
  <pageSetup paperSize="8" scale="7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3413B-43AE-4CAF-899B-A5F8CC9350A7}">
  <sheetPr>
    <pageSetUpPr fitToPage="1"/>
  </sheetPr>
  <dimension ref="A1:AE14"/>
  <sheetViews>
    <sheetView showGridLines="0" zoomScale="85" zoomScaleNormal="85" workbookViewId="0">
      <selection activeCell="G10" sqref="G10"/>
    </sheetView>
  </sheetViews>
  <sheetFormatPr defaultRowHeight="16.5" x14ac:dyDescent="0.3"/>
  <cols>
    <col min="1" max="1" width="2" customWidth="1"/>
    <col min="2" max="7" width="4.875" style="1" customWidth="1"/>
    <col min="9" max="9" width="4.875" customWidth="1"/>
    <col min="10" max="10" width="4" customWidth="1"/>
    <col min="11" max="11" width="13.125" style="1" customWidth="1"/>
    <col min="12" max="12" width="4" customWidth="1"/>
    <col min="13" max="13" width="13.125" style="1" customWidth="1"/>
    <col min="14" max="14" width="4" customWidth="1"/>
    <col min="15" max="15" width="13.125" style="1" customWidth="1"/>
    <col min="16" max="16" width="4" customWidth="1"/>
    <col min="17" max="17" width="13.125" style="1" customWidth="1"/>
    <col min="18" max="18" width="4" customWidth="1"/>
    <col min="19" max="19" width="13.125" style="1" customWidth="1"/>
    <col min="20" max="20" width="4" customWidth="1"/>
    <col min="21" max="21" width="13.125" style="1" customWidth="1"/>
    <col min="22" max="22" width="4" customWidth="1"/>
    <col min="23" max="23" width="13.125" style="1" customWidth="1"/>
    <col min="24" max="24" width="4" customWidth="1"/>
    <col min="25" max="25" width="13.125" style="1" customWidth="1"/>
    <col min="26" max="26" width="4" customWidth="1"/>
    <col min="27" max="27" width="13.125" style="1" customWidth="1"/>
  </cols>
  <sheetData>
    <row r="1" spans="1:31" s="19" customFormat="1" ht="31.5" x14ac:dyDescent="0.3">
      <c r="A1" s="139" t="s">
        <v>27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</row>
    <row r="2" spans="1:31" x14ac:dyDescent="0.3">
      <c r="AA2" s="82" t="s">
        <v>109</v>
      </c>
    </row>
    <row r="3" spans="1:31" ht="17.25" thickBot="1" x14ac:dyDescent="0.35"/>
    <row r="4" spans="1:31" ht="26.25" customHeight="1" thickBot="1" x14ac:dyDescent="0.35">
      <c r="K4" s="22" t="s">
        <v>37</v>
      </c>
      <c r="L4" s="23"/>
      <c r="M4" s="22" t="s">
        <v>46</v>
      </c>
      <c r="N4" s="23"/>
      <c r="O4" s="22" t="s">
        <v>47</v>
      </c>
      <c r="P4" s="23"/>
      <c r="Q4" s="22" t="s">
        <v>48</v>
      </c>
      <c r="R4" s="23"/>
      <c r="S4" s="22" t="s">
        <v>49</v>
      </c>
      <c r="T4" s="23"/>
      <c r="U4" s="22" t="s">
        <v>50</v>
      </c>
      <c r="V4" s="23"/>
      <c r="W4" s="22" t="s">
        <v>51</v>
      </c>
      <c r="X4" s="23"/>
      <c r="Y4" s="22" t="s">
        <v>52</v>
      </c>
      <c r="Z4" s="23"/>
      <c r="AA4" s="22" t="s">
        <v>45</v>
      </c>
    </row>
    <row r="5" spans="1:31" ht="26.25" customHeight="1" thickBot="1" x14ac:dyDescent="0.35"/>
    <row r="6" spans="1:31" ht="26.25" customHeight="1" thickBot="1" x14ac:dyDescent="0.35">
      <c r="D6" s="126" t="s">
        <v>5</v>
      </c>
      <c r="E6" s="126"/>
      <c r="I6" s="127" t="s">
        <v>0</v>
      </c>
      <c r="K6" s="24" t="s">
        <v>2</v>
      </c>
      <c r="L6" s="23"/>
      <c r="M6" s="24" t="s">
        <v>18</v>
      </c>
      <c r="N6" s="23"/>
      <c r="O6" s="24" t="s">
        <v>19</v>
      </c>
      <c r="P6" s="23"/>
      <c r="Q6" s="24" t="s">
        <v>20</v>
      </c>
      <c r="R6" s="23"/>
      <c r="S6" s="24" t="s">
        <v>21</v>
      </c>
      <c r="T6" s="23"/>
      <c r="U6" s="24" t="s">
        <v>22</v>
      </c>
      <c r="V6" s="23"/>
      <c r="W6" s="24" t="s">
        <v>23</v>
      </c>
      <c r="X6" s="23"/>
      <c r="Y6" s="24" t="s">
        <v>24</v>
      </c>
      <c r="Z6" s="23"/>
      <c r="AA6" s="24" t="s">
        <v>12</v>
      </c>
      <c r="AC6" s="1"/>
      <c r="AE6" s="1"/>
    </row>
    <row r="7" spans="1:31" ht="26.25" customHeight="1" x14ac:dyDescent="0.3">
      <c r="C7" s="2"/>
      <c r="D7" s="3"/>
      <c r="E7" s="3"/>
      <c r="F7" s="4"/>
      <c r="I7" s="128"/>
      <c r="K7" s="25" t="s">
        <v>3</v>
      </c>
      <c r="L7" s="23"/>
      <c r="M7" s="25" t="s">
        <v>3</v>
      </c>
      <c r="N7" s="23"/>
      <c r="O7" s="25"/>
      <c r="P7" s="23"/>
      <c r="Q7" s="25" t="s">
        <v>3</v>
      </c>
      <c r="R7" s="23"/>
      <c r="S7" s="25" t="s">
        <v>3</v>
      </c>
      <c r="T7" s="23"/>
      <c r="U7" s="25"/>
      <c r="V7" s="23"/>
      <c r="W7" s="25"/>
      <c r="X7" s="23"/>
      <c r="Y7" s="25"/>
      <c r="Z7" s="23"/>
      <c r="AA7" s="25" t="s">
        <v>3</v>
      </c>
      <c r="AC7" s="1"/>
      <c r="AE7" s="1"/>
    </row>
    <row r="8" spans="1:31" ht="26.25" customHeight="1" x14ac:dyDescent="0.3">
      <c r="C8" s="5"/>
      <c r="F8" s="6"/>
      <c r="I8" s="128"/>
      <c r="K8" s="25" t="s">
        <v>4</v>
      </c>
      <c r="L8" s="23"/>
      <c r="M8" s="25"/>
      <c r="N8" s="23"/>
      <c r="O8" s="25" t="s">
        <v>4</v>
      </c>
      <c r="P8" s="23"/>
      <c r="Q8" s="25" t="s">
        <v>4</v>
      </c>
      <c r="R8" s="23"/>
      <c r="S8" s="25" t="s">
        <v>4</v>
      </c>
      <c r="T8" s="23"/>
      <c r="U8" s="25"/>
      <c r="V8" s="23"/>
      <c r="W8" s="25"/>
      <c r="X8" s="23"/>
      <c r="Y8" s="25"/>
      <c r="Z8" s="23"/>
      <c r="AA8" s="25" t="s">
        <v>4</v>
      </c>
      <c r="AC8" s="1"/>
      <c r="AE8" s="1"/>
    </row>
    <row r="9" spans="1:31" ht="26.25" customHeight="1" thickBot="1" x14ac:dyDescent="0.35">
      <c r="C9" s="5"/>
      <c r="F9" s="6"/>
      <c r="I9" s="129"/>
      <c r="K9" s="26"/>
      <c r="L9" s="23"/>
      <c r="M9" s="26"/>
      <c r="N9" s="23"/>
      <c r="O9" s="26"/>
      <c r="P9" s="23"/>
      <c r="Q9" s="26"/>
      <c r="R9" s="23"/>
      <c r="S9" s="26"/>
      <c r="T9" s="23"/>
      <c r="U9" s="26" t="s">
        <v>33</v>
      </c>
      <c r="V9" s="23"/>
      <c r="W9" s="26" t="s">
        <v>33</v>
      </c>
      <c r="X9" s="23"/>
      <c r="Y9" s="26" t="s">
        <v>33</v>
      </c>
      <c r="Z9" s="23"/>
      <c r="AA9" s="26" t="s">
        <v>33</v>
      </c>
      <c r="AC9" s="1"/>
      <c r="AE9" s="1"/>
    </row>
    <row r="10" spans="1:31" ht="26.25" customHeight="1" thickBot="1" x14ac:dyDescent="0.35">
      <c r="B10" s="1" t="s">
        <v>3</v>
      </c>
      <c r="C10" s="5"/>
      <c r="F10" s="6"/>
      <c r="G10" s="42" t="s">
        <v>34</v>
      </c>
      <c r="I10" s="1"/>
      <c r="K10"/>
      <c r="M10"/>
      <c r="O10"/>
      <c r="Q10"/>
      <c r="S10"/>
      <c r="U10"/>
      <c r="W10"/>
      <c r="Y10"/>
      <c r="AA10"/>
      <c r="AC10" s="1"/>
      <c r="AE10" s="1"/>
    </row>
    <row r="11" spans="1:31" ht="26.25" customHeight="1" x14ac:dyDescent="0.3">
      <c r="C11" s="7"/>
      <c r="D11" s="8"/>
      <c r="E11" s="8"/>
      <c r="F11" s="6"/>
      <c r="G11" s="8"/>
      <c r="I11" s="134" t="s">
        <v>1</v>
      </c>
      <c r="K11" s="15" t="s">
        <v>2</v>
      </c>
      <c r="M11" s="15" t="s">
        <v>18</v>
      </c>
      <c r="O11"/>
      <c r="Q11"/>
      <c r="S11"/>
      <c r="U11"/>
      <c r="W11"/>
      <c r="Y11"/>
      <c r="AA11" s="15" t="s">
        <v>12</v>
      </c>
      <c r="AC11" s="1"/>
      <c r="AE11" s="1"/>
    </row>
    <row r="12" spans="1:31" ht="26.25" customHeight="1" thickBot="1" x14ac:dyDescent="0.35">
      <c r="C12" s="9"/>
      <c r="D12" s="10"/>
      <c r="E12" s="10"/>
      <c r="F12" s="11"/>
      <c r="I12" s="135"/>
      <c r="K12" s="16" t="s">
        <v>5</v>
      </c>
      <c r="M12" s="16" t="s">
        <v>5</v>
      </c>
      <c r="O12"/>
      <c r="Q12"/>
      <c r="S12"/>
      <c r="U12"/>
      <c r="W12"/>
      <c r="Y12"/>
      <c r="AA12" s="16" t="s">
        <v>5</v>
      </c>
      <c r="AC12" s="1"/>
      <c r="AE12" s="1"/>
    </row>
    <row r="13" spans="1:31" ht="26.25" customHeight="1" thickBot="1" x14ac:dyDescent="0.35">
      <c r="D13" s="137" t="s">
        <v>6</v>
      </c>
      <c r="E13" s="137"/>
      <c r="I13" s="136"/>
      <c r="K13" s="17" t="s">
        <v>6</v>
      </c>
      <c r="M13" s="17" t="s">
        <v>6</v>
      </c>
      <c r="O13"/>
      <c r="Q13"/>
      <c r="S13"/>
      <c r="U13"/>
      <c r="W13"/>
      <c r="Y13"/>
      <c r="AA13" s="17" t="s">
        <v>6</v>
      </c>
      <c r="AC13" s="1"/>
      <c r="AE13" s="1"/>
    </row>
    <row r="14" spans="1:31" ht="26.25" customHeight="1" x14ac:dyDescent="0.3">
      <c r="C14" s="123" t="s">
        <v>26</v>
      </c>
      <c r="D14" s="124"/>
      <c r="E14" s="124"/>
      <c r="F14" s="125"/>
      <c r="AC14" s="1"/>
      <c r="AE14" s="1"/>
    </row>
  </sheetData>
  <mergeCells count="6">
    <mergeCell ref="C14:F14"/>
    <mergeCell ref="A1:AA1"/>
    <mergeCell ref="I11:I13"/>
    <mergeCell ref="D6:E6"/>
    <mergeCell ref="D13:E13"/>
    <mergeCell ref="I6:I9"/>
  </mergeCells>
  <phoneticPr fontId="1" type="noConversion"/>
  <pageMargins left="0.70866141732283472" right="0.70866141732283472" top="0.74803149606299213" bottom="0.74803149606299213" header="0.31496062992125984" footer="0.31496062992125984"/>
  <pageSetup paperSize="8" scale="9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E131A-D18A-4799-ABC1-0793B6D2AAA3}">
  <sheetPr>
    <pageSetUpPr fitToPage="1"/>
  </sheetPr>
  <dimension ref="A1:X41"/>
  <sheetViews>
    <sheetView showGridLines="0" topLeftCell="A4" workbookViewId="0">
      <selection activeCell="C61" sqref="C61"/>
    </sheetView>
  </sheetViews>
  <sheetFormatPr defaultRowHeight="16.5" x14ac:dyDescent="0.3"/>
  <cols>
    <col min="1" max="1" width="15.125" bestFit="1" customWidth="1"/>
    <col min="2" max="2" width="26.25" bestFit="1" customWidth="1"/>
    <col min="3" max="3" width="13.75" bestFit="1" customWidth="1"/>
    <col min="4" max="4" width="18.375" bestFit="1" customWidth="1"/>
    <col min="5" max="7" width="5.25" bestFit="1" customWidth="1"/>
    <col min="8" max="8" width="6.375" customWidth="1"/>
    <col min="10" max="10" width="10" bestFit="1" customWidth="1"/>
    <col min="11" max="13" width="7.375" bestFit="1" customWidth="1"/>
    <col min="14" max="14" width="8.25" bestFit="1" customWidth="1"/>
    <col min="15" max="15" width="7.375" bestFit="1" customWidth="1"/>
    <col min="16" max="16" width="3.5" bestFit="1" customWidth="1"/>
    <col min="17" max="17" width="4.5" bestFit="1" customWidth="1"/>
    <col min="18" max="18" width="3.5" bestFit="1" customWidth="1"/>
    <col min="19" max="19" width="4.5" bestFit="1" customWidth="1"/>
    <col min="20" max="21" width="5.25" bestFit="1" customWidth="1"/>
    <col min="22" max="23" width="4.5" bestFit="1" customWidth="1"/>
  </cols>
  <sheetData>
    <row r="1" spans="1:24" ht="17.25" thickBot="1" x14ac:dyDescent="0.35">
      <c r="K1">
        <v>60</v>
      </c>
      <c r="L1">
        <v>8</v>
      </c>
      <c r="P1" s="122" t="s">
        <v>110</v>
      </c>
      <c r="Q1" s="122"/>
      <c r="R1" s="122"/>
      <c r="S1" s="122"/>
      <c r="T1" s="122"/>
      <c r="U1" s="122"/>
      <c r="V1" s="122"/>
      <c r="W1" s="122"/>
    </row>
    <row r="2" spans="1:24" ht="17.25" thickBot="1" x14ac:dyDescent="0.35">
      <c r="A2" s="83" t="s">
        <v>168</v>
      </c>
      <c r="B2" s="84" t="s">
        <v>169</v>
      </c>
      <c r="C2" s="84"/>
      <c r="D2" s="84"/>
      <c r="E2" s="84" t="s">
        <v>170</v>
      </c>
      <c r="F2" s="84" t="s">
        <v>171</v>
      </c>
      <c r="G2" s="84" t="s">
        <v>172</v>
      </c>
      <c r="H2" s="84" t="s">
        <v>171</v>
      </c>
      <c r="I2" s="84"/>
      <c r="J2" s="84" t="s">
        <v>116</v>
      </c>
      <c r="K2" s="84" t="s">
        <v>117</v>
      </c>
      <c r="L2" s="85" t="s">
        <v>118</v>
      </c>
    </row>
    <row r="3" spans="1:24" ht="18" thickTop="1" thickBot="1" x14ac:dyDescent="0.35"/>
    <row r="4" spans="1:24" x14ac:dyDescent="0.3">
      <c r="A4" s="86" t="s">
        <v>37</v>
      </c>
      <c r="B4" s="87" t="s">
        <v>173</v>
      </c>
      <c r="C4" s="87"/>
      <c r="D4" s="87"/>
      <c r="E4" s="87"/>
      <c r="F4" s="87"/>
      <c r="G4" s="87"/>
      <c r="H4" s="87"/>
      <c r="I4" s="87"/>
      <c r="J4" s="88"/>
      <c r="K4" s="88"/>
      <c r="L4" s="89"/>
      <c r="P4" s="90">
        <v>7</v>
      </c>
      <c r="Q4" s="91" t="s">
        <v>122</v>
      </c>
      <c r="R4" s="91">
        <v>50</v>
      </c>
      <c r="S4" s="92" t="s">
        <v>123</v>
      </c>
      <c r="T4" s="90" t="s">
        <v>124</v>
      </c>
      <c r="U4" s="92"/>
      <c r="V4" s="90">
        <v>10</v>
      </c>
      <c r="W4" s="93"/>
    </row>
    <row r="5" spans="1:24" x14ac:dyDescent="0.3">
      <c r="A5" s="94"/>
      <c r="B5" s="95"/>
      <c r="C5" s="95"/>
      <c r="D5" s="95" t="s">
        <v>108</v>
      </c>
      <c r="E5" s="95"/>
      <c r="F5" s="95"/>
      <c r="G5" s="95"/>
      <c r="H5" s="95"/>
      <c r="I5" s="95"/>
      <c r="J5" s="96"/>
      <c r="K5" s="96"/>
      <c r="L5" s="97"/>
      <c r="P5" s="98">
        <v>8</v>
      </c>
      <c r="Q5" s="99" t="s">
        <v>122</v>
      </c>
      <c r="R5" s="99">
        <v>0</v>
      </c>
      <c r="S5" s="100" t="s">
        <v>123</v>
      </c>
      <c r="T5" s="98" t="s">
        <v>127</v>
      </c>
      <c r="U5" s="100"/>
      <c r="V5" s="98">
        <v>10</v>
      </c>
      <c r="W5" s="101"/>
    </row>
    <row r="6" spans="1:24" x14ac:dyDescent="0.3">
      <c r="A6" s="94"/>
      <c r="B6" s="95"/>
      <c r="C6" s="95"/>
      <c r="D6" s="95"/>
      <c r="E6" s="95"/>
      <c r="F6" s="95"/>
      <c r="G6" s="95"/>
      <c r="H6" s="95"/>
      <c r="I6" s="95"/>
      <c r="J6" s="96"/>
      <c r="K6" s="96"/>
      <c r="L6" s="97"/>
      <c r="P6" s="98">
        <v>8</v>
      </c>
      <c r="Q6" s="99" t="s">
        <v>122</v>
      </c>
      <c r="R6" s="99">
        <v>10</v>
      </c>
      <c r="S6" s="100" t="s">
        <v>123</v>
      </c>
      <c r="T6" s="98"/>
      <c r="U6" s="100" t="s">
        <v>129</v>
      </c>
      <c r="V6" s="98"/>
      <c r="W6" s="101">
        <v>110</v>
      </c>
    </row>
    <row r="7" spans="1:24" x14ac:dyDescent="0.3">
      <c r="A7" s="94"/>
      <c r="B7" s="95"/>
      <c r="C7" s="95"/>
      <c r="D7" s="95"/>
      <c r="E7" s="95"/>
      <c r="F7" s="95"/>
      <c r="G7" s="95"/>
      <c r="H7" s="95"/>
      <c r="I7" s="95"/>
      <c r="J7" s="96"/>
      <c r="K7" s="96"/>
      <c r="L7" s="97"/>
      <c r="P7" s="98">
        <v>10</v>
      </c>
      <c r="Q7" s="99" t="s">
        <v>122</v>
      </c>
      <c r="R7" s="99">
        <v>0</v>
      </c>
      <c r="S7" s="100" t="s">
        <v>123</v>
      </c>
      <c r="T7" s="98" t="s">
        <v>131</v>
      </c>
      <c r="U7" s="100"/>
      <c r="V7" s="98">
        <v>10</v>
      </c>
      <c r="W7" s="101"/>
    </row>
    <row r="8" spans="1:24" x14ac:dyDescent="0.3">
      <c r="A8" s="94"/>
      <c r="B8" s="95"/>
      <c r="C8" s="95"/>
      <c r="D8" s="95"/>
      <c r="E8" s="95"/>
      <c r="F8" s="95"/>
      <c r="G8" s="95"/>
      <c r="H8" s="95"/>
      <c r="I8" s="95"/>
      <c r="J8" s="96"/>
      <c r="K8" s="96"/>
      <c r="L8" s="97"/>
      <c r="P8" s="98">
        <v>10</v>
      </c>
      <c r="Q8" s="99" t="s">
        <v>122</v>
      </c>
      <c r="R8" s="99">
        <v>10</v>
      </c>
      <c r="S8" s="100" t="s">
        <v>123</v>
      </c>
      <c r="T8" s="98"/>
      <c r="U8" s="100"/>
      <c r="V8" s="98"/>
      <c r="W8" s="101">
        <v>100</v>
      </c>
    </row>
    <row r="9" spans="1:24" ht="17.25" thickBot="1" x14ac:dyDescent="0.35">
      <c r="A9" s="102"/>
      <c r="B9" s="103"/>
      <c r="C9" s="103"/>
      <c r="D9" s="103"/>
      <c r="E9" s="103"/>
      <c r="F9" s="103"/>
      <c r="G9" s="103"/>
      <c r="H9" s="103"/>
      <c r="I9" s="103"/>
      <c r="J9" s="104"/>
      <c r="K9" s="104"/>
      <c r="L9" s="105"/>
      <c r="P9" s="98">
        <v>11</v>
      </c>
      <c r="Q9" s="99" t="s">
        <v>122</v>
      </c>
      <c r="R9" s="99">
        <v>50</v>
      </c>
      <c r="S9" s="100" t="s">
        <v>123</v>
      </c>
      <c r="T9" s="98" t="s">
        <v>134</v>
      </c>
      <c r="U9" s="100"/>
      <c r="V9" s="98">
        <v>70</v>
      </c>
      <c r="W9" s="101"/>
    </row>
    <row r="10" spans="1:24" ht="18" thickTop="1" thickBot="1" x14ac:dyDescent="0.35">
      <c r="A10" s="106"/>
      <c r="B10" s="107"/>
      <c r="C10" s="107"/>
      <c r="D10" s="107"/>
      <c r="E10" s="107">
        <f>SUM(E4:E9)</f>
        <v>0</v>
      </c>
      <c r="F10" s="107"/>
      <c r="G10" s="107">
        <f>SUM(G4:G9)</f>
        <v>0</v>
      </c>
      <c r="H10" s="107">
        <f>G10/60</f>
        <v>0</v>
      </c>
      <c r="I10" s="107"/>
      <c r="J10" s="108" t="e">
        <f>ROUND(E10/H10,-1)</f>
        <v>#DIV/0!</v>
      </c>
      <c r="K10" s="108" t="e">
        <f>J10*$K$1</f>
        <v>#DIV/0!</v>
      </c>
      <c r="L10" s="109" t="e">
        <f>K10*$L$1</f>
        <v>#DIV/0!</v>
      </c>
      <c r="P10" s="98">
        <v>1</v>
      </c>
      <c r="Q10" s="99" t="s">
        <v>122</v>
      </c>
      <c r="R10" s="99">
        <v>0</v>
      </c>
      <c r="S10" s="100" t="s">
        <v>123</v>
      </c>
      <c r="T10" s="98"/>
      <c r="U10" s="100" t="s">
        <v>129</v>
      </c>
      <c r="V10" s="98"/>
      <c r="W10" s="101">
        <v>90</v>
      </c>
    </row>
    <row r="11" spans="1:24" ht="17.25" thickBot="1" x14ac:dyDescent="0.35">
      <c r="J11" s="110"/>
      <c r="K11" s="110"/>
      <c r="L11" s="110"/>
      <c r="P11" s="98">
        <v>2</v>
      </c>
      <c r="Q11" s="99" t="s">
        <v>122</v>
      </c>
      <c r="R11" s="99">
        <v>30</v>
      </c>
      <c r="S11" s="100" t="s">
        <v>123</v>
      </c>
      <c r="T11" s="98" t="s">
        <v>131</v>
      </c>
      <c r="U11" s="100"/>
      <c r="V11" s="98">
        <v>10</v>
      </c>
      <c r="W11" s="101"/>
    </row>
    <row r="12" spans="1:24" x14ac:dyDescent="0.3">
      <c r="A12" s="86" t="s">
        <v>37</v>
      </c>
      <c r="B12" s="87" t="s">
        <v>174</v>
      </c>
      <c r="C12" s="87"/>
      <c r="D12" s="87" t="s">
        <v>139</v>
      </c>
      <c r="E12" s="87"/>
      <c r="F12" s="87"/>
      <c r="G12" s="87">
        <v>17</v>
      </c>
      <c r="H12" s="87" t="s">
        <v>121</v>
      </c>
      <c r="I12" s="87"/>
      <c r="J12" s="88"/>
      <c r="K12" s="88"/>
      <c r="L12" s="89"/>
      <c r="P12" s="98">
        <v>2</v>
      </c>
      <c r="Q12" s="99" t="s">
        <v>122</v>
      </c>
      <c r="R12" s="99">
        <v>40</v>
      </c>
      <c r="S12" s="100" t="s">
        <v>123</v>
      </c>
      <c r="T12" s="98"/>
      <c r="U12" s="100" t="s">
        <v>129</v>
      </c>
      <c r="V12" s="98">
        <v>90</v>
      </c>
      <c r="W12" s="101">
        <v>90</v>
      </c>
    </row>
    <row r="13" spans="1:24" x14ac:dyDescent="0.3">
      <c r="A13" s="94"/>
      <c r="B13" s="95"/>
      <c r="C13" s="95"/>
      <c r="D13" s="95" t="s">
        <v>175</v>
      </c>
      <c r="E13" s="95">
        <v>1</v>
      </c>
      <c r="F13" s="95" t="s">
        <v>142</v>
      </c>
      <c r="G13" s="95">
        <v>20</v>
      </c>
      <c r="H13" s="95" t="s">
        <v>121</v>
      </c>
      <c r="I13" s="95"/>
      <c r="J13" s="96"/>
      <c r="K13" s="96"/>
      <c r="L13" s="97"/>
      <c r="P13" s="98">
        <v>4</v>
      </c>
      <c r="Q13" s="99" t="s">
        <v>122</v>
      </c>
      <c r="R13" s="99">
        <v>10</v>
      </c>
      <c r="S13" s="100" t="s">
        <v>123</v>
      </c>
      <c r="T13" s="98"/>
      <c r="U13" s="100"/>
      <c r="V13" s="98">
        <v>10</v>
      </c>
      <c r="W13" s="101"/>
    </row>
    <row r="14" spans="1:24" ht="17.25" thickBot="1" x14ac:dyDescent="0.35">
      <c r="A14" s="94"/>
      <c r="B14" s="95"/>
      <c r="C14" s="95"/>
      <c r="D14" s="95" t="s">
        <v>176</v>
      </c>
      <c r="E14" s="95"/>
      <c r="F14" s="95"/>
      <c r="G14" s="95">
        <v>4</v>
      </c>
      <c r="H14" s="95" t="s">
        <v>121</v>
      </c>
      <c r="I14" s="95"/>
      <c r="J14" s="96"/>
      <c r="K14" s="96"/>
      <c r="L14" s="97"/>
      <c r="P14" s="98">
        <v>4</v>
      </c>
      <c r="Q14" s="99" t="s">
        <v>122</v>
      </c>
      <c r="R14" s="99">
        <v>20</v>
      </c>
      <c r="S14" s="100" t="s">
        <v>123</v>
      </c>
      <c r="T14" s="98"/>
      <c r="U14" s="100" t="s">
        <v>129</v>
      </c>
      <c r="V14" s="98"/>
      <c r="W14" s="101">
        <v>100</v>
      </c>
    </row>
    <row r="15" spans="1:24" ht="18" thickTop="1" thickBot="1" x14ac:dyDescent="0.35">
      <c r="A15" s="106"/>
      <c r="B15" s="107"/>
      <c r="C15" s="107"/>
      <c r="D15" s="107"/>
      <c r="E15" s="107">
        <f>SUM(E12:E14)</f>
        <v>1</v>
      </c>
      <c r="F15" s="107"/>
      <c r="G15" s="107">
        <f>SUM(G12:G14)</f>
        <v>41</v>
      </c>
      <c r="H15" s="107">
        <f>G15/60</f>
        <v>0.68333333333333335</v>
      </c>
      <c r="I15" s="107"/>
      <c r="J15" s="108">
        <f>ROUND(E15/H15,-1)</f>
        <v>0</v>
      </c>
      <c r="K15" s="108">
        <f>J15*$K$1</f>
        <v>0</v>
      </c>
      <c r="L15" s="109">
        <f>K15*$L$1</f>
        <v>0</v>
      </c>
      <c r="P15" s="111">
        <v>6</v>
      </c>
      <c r="Q15" s="112" t="s">
        <v>122</v>
      </c>
      <c r="R15" s="112">
        <v>0</v>
      </c>
      <c r="S15" s="113" t="s">
        <v>123</v>
      </c>
      <c r="T15" s="111"/>
      <c r="U15" s="113"/>
      <c r="V15" s="111"/>
      <c r="W15" s="114"/>
    </row>
    <row r="16" spans="1:24" ht="17.25" thickBot="1" x14ac:dyDescent="0.35">
      <c r="P16" s="115"/>
      <c r="Q16" s="116"/>
      <c r="R16" s="116"/>
      <c r="S16" s="117"/>
      <c r="T16" s="115"/>
      <c r="U16" s="117"/>
      <c r="V16" s="115">
        <f>SUM(V4:V15)</f>
        <v>210</v>
      </c>
      <c r="W16" s="118">
        <f>SUM(W4:W15)</f>
        <v>490</v>
      </c>
      <c r="X16">
        <f>W16/60</f>
        <v>8.1666666666666661</v>
      </c>
    </row>
    <row r="17" spans="1:23" x14ac:dyDescent="0.3">
      <c r="A17" s="86" t="s">
        <v>37</v>
      </c>
      <c r="B17" s="87" t="s">
        <v>177</v>
      </c>
      <c r="C17" s="87" t="s">
        <v>178</v>
      </c>
      <c r="D17" s="87" t="s">
        <v>139</v>
      </c>
      <c r="E17" s="87"/>
      <c r="F17" s="87"/>
      <c r="G17" s="87">
        <v>12</v>
      </c>
      <c r="H17" s="87" t="s">
        <v>121</v>
      </c>
      <c r="I17" s="87"/>
      <c r="J17" s="88"/>
      <c r="K17" s="88"/>
      <c r="L17" s="89"/>
      <c r="M17" s="119">
        <f>L15/1</f>
        <v>0</v>
      </c>
      <c r="W17">
        <f>W16/60</f>
        <v>8.1666666666666661</v>
      </c>
    </row>
    <row r="18" spans="1:23" x14ac:dyDescent="0.3">
      <c r="A18" s="94"/>
      <c r="B18" s="95"/>
      <c r="C18" s="95"/>
      <c r="D18" s="95" t="s">
        <v>175</v>
      </c>
      <c r="E18" s="95">
        <v>1</v>
      </c>
      <c r="F18" s="95" t="s">
        <v>142</v>
      </c>
      <c r="G18" s="95">
        <v>37</v>
      </c>
      <c r="H18" s="95" t="s">
        <v>121</v>
      </c>
      <c r="I18" s="95"/>
      <c r="J18" s="96"/>
      <c r="K18" s="96"/>
      <c r="L18" s="97"/>
    </row>
    <row r="19" spans="1:23" x14ac:dyDescent="0.3">
      <c r="A19" s="94"/>
      <c r="B19" s="95"/>
      <c r="C19" s="95"/>
      <c r="D19" s="95" t="s">
        <v>179</v>
      </c>
      <c r="E19" s="95">
        <v>1</v>
      </c>
      <c r="F19" s="95" t="s">
        <v>142</v>
      </c>
      <c r="G19" s="95">
        <v>32</v>
      </c>
      <c r="H19" s="95" t="s">
        <v>121</v>
      </c>
      <c r="I19" s="95"/>
      <c r="J19" s="96"/>
      <c r="K19" s="96"/>
      <c r="L19" s="97"/>
    </row>
    <row r="20" spans="1:23" ht="17.25" thickBot="1" x14ac:dyDescent="0.35">
      <c r="A20" s="94"/>
      <c r="B20" s="95"/>
      <c r="C20" s="95"/>
      <c r="D20" s="95" t="s">
        <v>176</v>
      </c>
      <c r="E20" s="95"/>
      <c r="F20" s="95"/>
      <c r="G20" s="95">
        <v>12</v>
      </c>
      <c r="H20" s="95" t="s">
        <v>121</v>
      </c>
      <c r="I20" s="95"/>
      <c r="J20" s="96"/>
      <c r="K20" s="96"/>
      <c r="L20" s="97"/>
    </row>
    <row r="21" spans="1:23" ht="18" thickTop="1" thickBot="1" x14ac:dyDescent="0.35">
      <c r="A21" s="106"/>
      <c r="B21" s="107"/>
      <c r="C21" s="107"/>
      <c r="D21" s="107"/>
      <c r="E21" s="107">
        <f>SUM(E17:E20)</f>
        <v>2</v>
      </c>
      <c r="F21" s="107"/>
      <c r="G21" s="107">
        <f>SUM(G17:G20)</f>
        <v>93</v>
      </c>
      <c r="H21" s="107">
        <f>G21/60</f>
        <v>1.55</v>
      </c>
      <c r="I21" s="107"/>
      <c r="J21" s="108">
        <f>ROUND(E21/H21,-1)</f>
        <v>0</v>
      </c>
      <c r="K21" s="108">
        <f>J21*$K$1</f>
        <v>0</v>
      </c>
      <c r="L21" s="109">
        <f>K21*$L$1</f>
        <v>0</v>
      </c>
    </row>
    <row r="22" spans="1:23" ht="17.25" thickBot="1" x14ac:dyDescent="0.35"/>
    <row r="23" spans="1:23" x14ac:dyDescent="0.3">
      <c r="A23" s="86" t="s">
        <v>180</v>
      </c>
      <c r="B23" s="87" t="s">
        <v>177</v>
      </c>
      <c r="C23" s="87" t="s">
        <v>181</v>
      </c>
      <c r="D23" s="87" t="s">
        <v>139</v>
      </c>
      <c r="E23" s="87"/>
      <c r="F23" s="87"/>
      <c r="G23" s="87">
        <v>10</v>
      </c>
      <c r="H23" s="87" t="s">
        <v>121</v>
      </c>
      <c r="I23" s="87"/>
      <c r="J23" s="88"/>
      <c r="K23" s="88"/>
      <c r="L23" s="89"/>
    </row>
    <row r="24" spans="1:23" x14ac:dyDescent="0.3">
      <c r="A24" s="94"/>
      <c r="B24" s="95"/>
      <c r="C24" s="95"/>
      <c r="D24" s="95" t="s">
        <v>165</v>
      </c>
      <c r="E24" s="95">
        <v>1</v>
      </c>
      <c r="F24" s="95" t="s">
        <v>142</v>
      </c>
      <c r="G24" s="95">
        <v>20</v>
      </c>
      <c r="H24" s="95" t="s">
        <v>121</v>
      </c>
      <c r="I24" s="95"/>
      <c r="J24" s="96"/>
      <c r="K24" s="96"/>
      <c r="L24" s="97"/>
    </row>
    <row r="25" spans="1:23" ht="17.25" thickBot="1" x14ac:dyDescent="0.35">
      <c r="A25" s="94"/>
      <c r="B25" s="95"/>
      <c r="C25" s="95"/>
      <c r="D25" s="95" t="s">
        <v>144</v>
      </c>
      <c r="E25" s="95"/>
      <c r="F25" s="95"/>
      <c r="G25" s="95">
        <v>15</v>
      </c>
      <c r="H25" s="95" t="s">
        <v>121</v>
      </c>
      <c r="I25" s="95"/>
      <c r="J25" s="96"/>
      <c r="K25" s="96"/>
      <c r="L25" s="97"/>
    </row>
    <row r="26" spans="1:23" ht="18" thickTop="1" thickBot="1" x14ac:dyDescent="0.35">
      <c r="A26" s="106"/>
      <c r="B26" s="107"/>
      <c r="C26" s="107"/>
      <c r="D26" s="107"/>
      <c r="E26" s="107">
        <f>SUM(E24:E25)</f>
        <v>1</v>
      </c>
      <c r="F26" s="107"/>
      <c r="G26" s="107">
        <f>SUM(G23:G25)</f>
        <v>45</v>
      </c>
      <c r="H26" s="107">
        <f>G26/60</f>
        <v>0.75</v>
      </c>
      <c r="I26" s="107"/>
      <c r="J26" s="108">
        <f>ROUND(E26/H26,-1)</f>
        <v>0</v>
      </c>
      <c r="K26" s="108">
        <f>J26*$K$1</f>
        <v>0</v>
      </c>
      <c r="L26" s="109">
        <f>K26*$L$1</f>
        <v>0</v>
      </c>
    </row>
    <row r="27" spans="1:23" ht="17.25" thickBot="1" x14ac:dyDescent="0.35"/>
    <row r="28" spans="1:23" x14ac:dyDescent="0.3">
      <c r="A28" s="86" t="s">
        <v>182</v>
      </c>
      <c r="B28" s="87" t="s">
        <v>177</v>
      </c>
      <c r="C28" s="87"/>
      <c r="D28" s="87" t="s">
        <v>149</v>
      </c>
      <c r="E28" s="87">
        <v>1</v>
      </c>
      <c r="F28" s="87" t="s">
        <v>142</v>
      </c>
      <c r="G28" s="87">
        <v>70</v>
      </c>
      <c r="H28" s="87" t="s">
        <v>121</v>
      </c>
      <c r="I28" s="87"/>
      <c r="J28" s="88"/>
      <c r="K28" s="88"/>
      <c r="L28" s="89"/>
      <c r="N28" s="120"/>
      <c r="O28" s="119"/>
    </row>
    <row r="29" spans="1:23" x14ac:dyDescent="0.3">
      <c r="A29" s="94"/>
      <c r="B29" s="95"/>
      <c r="C29" s="95"/>
      <c r="D29" s="95"/>
      <c r="E29" s="95"/>
      <c r="F29" s="95"/>
      <c r="G29" s="95"/>
      <c r="H29" s="95"/>
      <c r="I29" s="95"/>
      <c r="J29" s="96"/>
      <c r="K29" s="96"/>
      <c r="L29" s="97"/>
    </row>
    <row r="30" spans="1:23" x14ac:dyDescent="0.3">
      <c r="A30" s="94"/>
      <c r="B30" s="95"/>
      <c r="C30" s="95"/>
      <c r="D30" s="95"/>
      <c r="E30" s="95"/>
      <c r="F30" s="95"/>
      <c r="G30" s="95"/>
      <c r="H30" s="95"/>
      <c r="I30" s="95"/>
      <c r="J30" s="96"/>
      <c r="K30" s="96"/>
      <c r="L30" s="97"/>
      <c r="N30" s="121"/>
    </row>
    <row r="31" spans="1:23" x14ac:dyDescent="0.3">
      <c r="A31" s="94"/>
      <c r="B31" s="95"/>
      <c r="C31" s="95"/>
      <c r="D31" s="95"/>
      <c r="E31" s="95"/>
      <c r="F31" s="95"/>
      <c r="G31" s="95"/>
      <c r="H31" s="95"/>
      <c r="I31" s="95"/>
      <c r="J31" s="96"/>
      <c r="K31" s="96"/>
      <c r="L31" s="97"/>
    </row>
    <row r="32" spans="1:23" x14ac:dyDescent="0.3">
      <c r="A32" s="94"/>
      <c r="B32" s="95"/>
      <c r="C32" s="95"/>
      <c r="D32" s="95"/>
      <c r="E32" s="95"/>
      <c r="F32" s="95"/>
      <c r="G32" s="95"/>
      <c r="H32" s="95"/>
      <c r="I32" s="95"/>
      <c r="J32" s="96"/>
      <c r="K32" s="96"/>
      <c r="L32" s="97"/>
    </row>
    <row r="33" spans="1:15" x14ac:dyDescent="0.3">
      <c r="A33" s="94"/>
      <c r="B33" s="95"/>
      <c r="C33" s="95"/>
      <c r="D33" s="95"/>
      <c r="E33" s="95"/>
      <c r="F33" s="95"/>
      <c r="G33" s="95"/>
      <c r="H33" s="95"/>
      <c r="I33" s="95"/>
      <c r="J33" s="96"/>
      <c r="K33" s="96"/>
      <c r="L33" s="97"/>
    </row>
    <row r="34" spans="1:15" x14ac:dyDescent="0.3">
      <c r="A34" s="94"/>
      <c r="B34" s="95"/>
      <c r="C34" s="95"/>
      <c r="D34" s="95"/>
      <c r="E34" s="95"/>
      <c r="F34" s="95"/>
      <c r="G34" s="95"/>
      <c r="H34" s="95"/>
      <c r="I34" s="95"/>
      <c r="J34" s="96"/>
      <c r="K34" s="96"/>
      <c r="L34" s="97"/>
    </row>
    <row r="35" spans="1:15" x14ac:dyDescent="0.3">
      <c r="A35" s="94"/>
      <c r="B35" s="95"/>
      <c r="C35" s="95"/>
      <c r="D35" s="95"/>
      <c r="E35" s="95"/>
      <c r="F35" s="95"/>
      <c r="G35" s="95"/>
      <c r="H35" s="95"/>
      <c r="I35" s="95"/>
      <c r="J35" s="96"/>
      <c r="K35" s="96"/>
      <c r="L35" s="97"/>
    </row>
    <row r="36" spans="1:15" ht="17.25" thickBot="1" x14ac:dyDescent="0.35">
      <c r="A36" s="94"/>
      <c r="B36" s="95"/>
      <c r="C36" s="95"/>
      <c r="D36" s="95"/>
      <c r="E36" s="95"/>
      <c r="F36" s="95"/>
      <c r="G36" s="95"/>
      <c r="H36" s="95"/>
      <c r="I36" s="95"/>
      <c r="J36" s="96"/>
      <c r="K36" s="96"/>
      <c r="L36" s="97"/>
    </row>
    <row r="37" spans="1:15" ht="18" thickTop="1" thickBot="1" x14ac:dyDescent="0.35">
      <c r="A37" s="106"/>
      <c r="B37" s="107"/>
      <c r="C37" s="107"/>
      <c r="D37" s="107"/>
      <c r="E37" s="107">
        <f>SUM(E29:E36)</f>
        <v>0</v>
      </c>
      <c r="F37" s="107"/>
      <c r="G37" s="107">
        <f>SUM(G28:G36)</f>
        <v>70</v>
      </c>
      <c r="H37" s="107">
        <f>G37/60</f>
        <v>1.1666666666666667</v>
      </c>
      <c r="I37" s="107"/>
      <c r="J37" s="108">
        <f>ROUND(E37/H37,-1)</f>
        <v>0</v>
      </c>
      <c r="K37" s="108">
        <f>J37*$K$1</f>
        <v>0</v>
      </c>
      <c r="L37" s="109">
        <f>K37*$L$1</f>
        <v>0</v>
      </c>
    </row>
    <row r="38" spans="1:15" ht="17.25" thickBot="1" x14ac:dyDescent="0.35"/>
    <row r="39" spans="1:15" x14ac:dyDescent="0.3">
      <c r="A39" s="86" t="s">
        <v>183</v>
      </c>
      <c r="B39" s="87" t="s">
        <v>177</v>
      </c>
      <c r="C39" s="87"/>
      <c r="D39" s="87" t="s">
        <v>184</v>
      </c>
      <c r="E39" s="87">
        <v>1</v>
      </c>
      <c r="F39" s="87" t="s">
        <v>142</v>
      </c>
      <c r="G39" s="87">
        <v>5</v>
      </c>
      <c r="H39" s="87" t="s">
        <v>121</v>
      </c>
      <c r="I39" s="87"/>
      <c r="J39" s="88"/>
      <c r="K39" s="88"/>
      <c r="L39" s="89"/>
      <c r="N39" s="120"/>
      <c r="O39" s="119"/>
    </row>
    <row r="40" spans="1:15" ht="17.25" thickBot="1" x14ac:dyDescent="0.35">
      <c r="A40" s="94"/>
      <c r="B40" s="95" t="s">
        <v>185</v>
      </c>
      <c r="C40" s="95"/>
      <c r="D40" s="95" t="s">
        <v>184</v>
      </c>
      <c r="E40" s="95"/>
      <c r="F40" s="95"/>
      <c r="G40" s="95">
        <v>5</v>
      </c>
      <c r="H40" s="95" t="s">
        <v>121</v>
      </c>
      <c r="I40" s="95"/>
      <c r="J40" s="96"/>
      <c r="K40" s="96"/>
      <c r="L40" s="97"/>
    </row>
    <row r="41" spans="1:15" ht="18" thickTop="1" thickBot="1" x14ac:dyDescent="0.35">
      <c r="A41" s="106"/>
      <c r="B41" s="107"/>
      <c r="C41" s="107"/>
      <c r="D41" s="107"/>
      <c r="E41" s="107">
        <f>SUM(E40:E40)</f>
        <v>0</v>
      </c>
      <c r="F41" s="107"/>
      <c r="G41" s="107">
        <f>SUM(G39:G40)</f>
        <v>10</v>
      </c>
      <c r="H41" s="107">
        <f>G41/60</f>
        <v>0.16666666666666666</v>
      </c>
      <c r="I41" s="107"/>
      <c r="J41" s="108">
        <f>ROUND(E41/H41,-1)</f>
        <v>0</v>
      </c>
      <c r="K41" s="108">
        <f>J41*$K$1</f>
        <v>0</v>
      </c>
      <c r="L41" s="109">
        <f>K41*$L$1</f>
        <v>0</v>
      </c>
    </row>
  </sheetData>
  <mergeCells count="1">
    <mergeCell ref="P1:W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7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FF5A0-9BEA-4777-B8BD-49DE7ABC7510}">
  <sheetPr>
    <pageSetUpPr fitToPage="1"/>
  </sheetPr>
  <dimension ref="A1:X71"/>
  <sheetViews>
    <sheetView showGridLines="0" workbookViewId="0">
      <selection activeCell="C61" sqref="C61"/>
    </sheetView>
  </sheetViews>
  <sheetFormatPr defaultRowHeight="16.5" x14ac:dyDescent="0.3"/>
  <cols>
    <col min="1" max="1" width="17.125" bestFit="1" customWidth="1"/>
    <col min="2" max="2" width="23.5" bestFit="1" customWidth="1"/>
    <col min="3" max="3" width="24.375" bestFit="1" customWidth="1"/>
    <col min="4" max="4" width="15.5" bestFit="1" customWidth="1"/>
    <col min="5" max="6" width="5.25" bestFit="1" customWidth="1"/>
    <col min="7" max="7" width="4.5" bestFit="1" customWidth="1"/>
    <col min="8" max="8" width="5.125" customWidth="1"/>
    <col min="10" max="10" width="10" bestFit="1" customWidth="1"/>
    <col min="11" max="13" width="7.375" bestFit="1" customWidth="1"/>
    <col min="14" max="14" width="8.25" bestFit="1" customWidth="1"/>
    <col min="15" max="15" width="7.375" bestFit="1" customWidth="1"/>
    <col min="16" max="16" width="3.5" bestFit="1" customWidth="1"/>
    <col min="17" max="17" width="4.5" bestFit="1" customWidth="1"/>
    <col min="18" max="18" width="3.5" bestFit="1" customWidth="1"/>
    <col min="19" max="19" width="4.5" bestFit="1" customWidth="1"/>
    <col min="20" max="21" width="5.25" bestFit="1" customWidth="1"/>
    <col min="22" max="23" width="4.5" bestFit="1" customWidth="1"/>
  </cols>
  <sheetData>
    <row r="1" spans="1:24" ht="17.25" thickBot="1" x14ac:dyDescent="0.35">
      <c r="K1">
        <v>60</v>
      </c>
      <c r="L1">
        <v>8</v>
      </c>
      <c r="P1" s="122" t="s">
        <v>110</v>
      </c>
      <c r="Q1" s="122"/>
      <c r="R1" s="122"/>
      <c r="S1" s="122"/>
      <c r="T1" s="122"/>
      <c r="U1" s="122"/>
      <c r="V1" s="122"/>
      <c r="W1" s="122"/>
    </row>
    <row r="2" spans="1:24" ht="17.25" thickBot="1" x14ac:dyDescent="0.35">
      <c r="A2" s="83" t="s">
        <v>111</v>
      </c>
      <c r="B2" s="84" t="s">
        <v>112</v>
      </c>
      <c r="C2" s="84"/>
      <c r="D2" s="84"/>
      <c r="E2" s="84" t="s">
        <v>113</v>
      </c>
      <c r="F2" s="84" t="s">
        <v>114</v>
      </c>
      <c r="G2" s="84" t="s">
        <v>115</v>
      </c>
      <c r="H2" s="84" t="s">
        <v>114</v>
      </c>
      <c r="I2" s="84"/>
      <c r="J2" s="84" t="s">
        <v>116</v>
      </c>
      <c r="K2" s="84" t="s">
        <v>117</v>
      </c>
      <c r="L2" s="85" t="s">
        <v>118</v>
      </c>
    </row>
    <row r="3" spans="1:24" ht="18" thickTop="1" thickBot="1" x14ac:dyDescent="0.35"/>
    <row r="4" spans="1:24" x14ac:dyDescent="0.3">
      <c r="A4" s="86" t="s">
        <v>37</v>
      </c>
      <c r="B4" s="87" t="s">
        <v>119</v>
      </c>
      <c r="C4" s="87"/>
      <c r="D4" s="87" t="s">
        <v>120</v>
      </c>
      <c r="E4" s="87"/>
      <c r="F4" s="87"/>
      <c r="G4" s="87">
        <v>26</v>
      </c>
      <c r="H4" s="87" t="s">
        <v>121</v>
      </c>
      <c r="I4" s="87"/>
      <c r="J4" s="88"/>
      <c r="K4" s="88"/>
      <c r="L4" s="89"/>
      <c r="P4" s="90">
        <v>7</v>
      </c>
      <c r="Q4" s="91" t="s">
        <v>122</v>
      </c>
      <c r="R4" s="91">
        <v>50</v>
      </c>
      <c r="S4" s="92" t="s">
        <v>123</v>
      </c>
      <c r="T4" s="90" t="s">
        <v>124</v>
      </c>
      <c r="U4" s="92"/>
      <c r="V4" s="90">
        <v>10</v>
      </c>
      <c r="W4" s="93"/>
    </row>
    <row r="5" spans="1:24" x14ac:dyDescent="0.3">
      <c r="A5" s="94"/>
      <c r="B5" s="95"/>
      <c r="C5" s="95"/>
      <c r="D5" s="95" t="s">
        <v>125</v>
      </c>
      <c r="E5" s="95">
        <v>3</v>
      </c>
      <c r="F5" s="95" t="s">
        <v>126</v>
      </c>
      <c r="G5" s="95">
        <v>10</v>
      </c>
      <c r="H5" s="95" t="s">
        <v>121</v>
      </c>
      <c r="I5" s="95"/>
      <c r="J5" s="96"/>
      <c r="K5" s="96"/>
      <c r="L5" s="97"/>
      <c r="P5" s="98">
        <v>8</v>
      </c>
      <c r="Q5" s="99" t="s">
        <v>122</v>
      </c>
      <c r="R5" s="99">
        <v>0</v>
      </c>
      <c r="S5" s="100" t="s">
        <v>123</v>
      </c>
      <c r="T5" s="98" t="s">
        <v>127</v>
      </c>
      <c r="U5" s="100"/>
      <c r="V5" s="98">
        <v>10</v>
      </c>
      <c r="W5" s="101"/>
    </row>
    <row r="6" spans="1:24" x14ac:dyDescent="0.3">
      <c r="A6" s="94"/>
      <c r="B6" s="95"/>
      <c r="C6" s="95"/>
      <c r="D6" s="95" t="s">
        <v>128</v>
      </c>
      <c r="E6" s="95">
        <v>3</v>
      </c>
      <c r="F6" s="95" t="s">
        <v>126</v>
      </c>
      <c r="G6" s="95">
        <v>12</v>
      </c>
      <c r="H6" s="95" t="s">
        <v>121</v>
      </c>
      <c r="I6" s="95"/>
      <c r="J6" s="96"/>
      <c r="K6" s="96"/>
      <c r="L6" s="97"/>
      <c r="P6" s="98">
        <v>8</v>
      </c>
      <c r="Q6" s="99" t="s">
        <v>122</v>
      </c>
      <c r="R6" s="99">
        <v>10</v>
      </c>
      <c r="S6" s="100" t="s">
        <v>123</v>
      </c>
      <c r="T6" s="98"/>
      <c r="U6" s="100" t="s">
        <v>129</v>
      </c>
      <c r="V6" s="98"/>
      <c r="W6" s="101">
        <v>110</v>
      </c>
    </row>
    <row r="7" spans="1:24" x14ac:dyDescent="0.3">
      <c r="A7" s="94"/>
      <c r="B7" s="95"/>
      <c r="C7" s="95"/>
      <c r="D7" s="95" t="s">
        <v>130</v>
      </c>
      <c r="E7" s="95">
        <v>3</v>
      </c>
      <c r="F7" s="95" t="s">
        <v>126</v>
      </c>
      <c r="G7" s="95">
        <v>13</v>
      </c>
      <c r="H7" s="95" t="s">
        <v>121</v>
      </c>
      <c r="I7" s="95"/>
      <c r="J7" s="96"/>
      <c r="K7" s="96"/>
      <c r="L7" s="97"/>
      <c r="P7" s="98">
        <v>10</v>
      </c>
      <c r="Q7" s="99" t="s">
        <v>122</v>
      </c>
      <c r="R7" s="99">
        <v>0</v>
      </c>
      <c r="S7" s="100" t="s">
        <v>123</v>
      </c>
      <c r="T7" s="98" t="s">
        <v>131</v>
      </c>
      <c r="U7" s="100"/>
      <c r="V7" s="98">
        <v>10</v>
      </c>
      <c r="W7" s="101"/>
    </row>
    <row r="8" spans="1:24" x14ac:dyDescent="0.3">
      <c r="A8" s="94"/>
      <c r="B8" s="95"/>
      <c r="C8" s="95"/>
      <c r="D8" s="95" t="s">
        <v>132</v>
      </c>
      <c r="E8" s="95">
        <v>3</v>
      </c>
      <c r="F8" s="95" t="s">
        <v>126</v>
      </c>
      <c r="G8" s="95">
        <v>12</v>
      </c>
      <c r="H8" s="95" t="s">
        <v>121</v>
      </c>
      <c r="I8" s="95"/>
      <c r="J8" s="96"/>
      <c r="K8" s="96"/>
      <c r="L8" s="97"/>
      <c r="P8" s="98">
        <v>10</v>
      </c>
      <c r="Q8" s="99" t="s">
        <v>122</v>
      </c>
      <c r="R8" s="99">
        <v>10</v>
      </c>
      <c r="S8" s="100" t="s">
        <v>123</v>
      </c>
      <c r="T8" s="98"/>
      <c r="U8" s="100"/>
      <c r="V8" s="98"/>
      <c r="W8" s="101">
        <v>100</v>
      </c>
    </row>
    <row r="9" spans="1:24" x14ac:dyDescent="0.3">
      <c r="A9" s="94"/>
      <c r="B9" s="95"/>
      <c r="C9" s="95"/>
      <c r="D9" s="95" t="s">
        <v>133</v>
      </c>
      <c r="E9" s="95">
        <v>3</v>
      </c>
      <c r="F9" s="95" t="s">
        <v>126</v>
      </c>
      <c r="G9" s="95">
        <v>12</v>
      </c>
      <c r="H9" s="95" t="s">
        <v>121</v>
      </c>
      <c r="I9" s="95"/>
      <c r="J9" s="96"/>
      <c r="K9" s="96"/>
      <c r="L9" s="97"/>
      <c r="P9" s="98">
        <v>11</v>
      </c>
      <c r="Q9" s="99" t="s">
        <v>122</v>
      </c>
      <c r="R9" s="99">
        <v>50</v>
      </c>
      <c r="S9" s="100" t="s">
        <v>123</v>
      </c>
      <c r="T9" s="98" t="s">
        <v>134</v>
      </c>
      <c r="U9" s="100"/>
      <c r="V9" s="98">
        <v>70</v>
      </c>
      <c r="W9" s="101"/>
    </row>
    <row r="10" spans="1:24" ht="17.25" thickBot="1" x14ac:dyDescent="0.35">
      <c r="A10" s="102"/>
      <c r="B10" s="103"/>
      <c r="C10" s="103"/>
      <c r="D10" s="103" t="s">
        <v>135</v>
      </c>
      <c r="E10" s="103"/>
      <c r="F10" s="103"/>
      <c r="G10" s="103">
        <v>8</v>
      </c>
      <c r="H10" s="103" t="s">
        <v>121</v>
      </c>
      <c r="I10" s="103"/>
      <c r="J10" s="104"/>
      <c r="K10" s="104"/>
      <c r="L10" s="105"/>
      <c r="P10" s="98">
        <v>1</v>
      </c>
      <c r="Q10" s="99" t="s">
        <v>122</v>
      </c>
      <c r="R10" s="99">
        <v>0</v>
      </c>
      <c r="S10" s="100" t="s">
        <v>123</v>
      </c>
      <c r="T10" s="98"/>
      <c r="U10" s="100" t="s">
        <v>129</v>
      </c>
      <c r="V10" s="98"/>
      <c r="W10" s="101">
        <v>90</v>
      </c>
    </row>
    <row r="11" spans="1:24" ht="18" thickTop="1" thickBot="1" x14ac:dyDescent="0.35">
      <c r="A11" s="106"/>
      <c r="B11" s="107"/>
      <c r="C11" s="107"/>
      <c r="D11" s="107"/>
      <c r="E11" s="107">
        <f>SUM(E4:E10)</f>
        <v>15</v>
      </c>
      <c r="F11" s="107"/>
      <c r="G11" s="107">
        <f>SUM(G4:G10)</f>
        <v>93</v>
      </c>
      <c r="H11" s="107">
        <f>G11/60</f>
        <v>1.55</v>
      </c>
      <c r="I11" s="107"/>
      <c r="J11" s="108">
        <f>ROUND(E11/H11,-1)</f>
        <v>10</v>
      </c>
      <c r="K11" s="108">
        <f>J11*$K$1</f>
        <v>600</v>
      </c>
      <c r="L11" s="109">
        <f>K11*$L$1</f>
        <v>4800</v>
      </c>
      <c r="P11" s="98">
        <v>2</v>
      </c>
      <c r="Q11" s="99" t="s">
        <v>122</v>
      </c>
      <c r="R11" s="99">
        <v>30</v>
      </c>
      <c r="S11" s="100" t="s">
        <v>123</v>
      </c>
      <c r="T11" s="98" t="s">
        <v>131</v>
      </c>
      <c r="U11" s="100"/>
      <c r="V11" s="98">
        <v>10</v>
      </c>
      <c r="W11" s="101"/>
    </row>
    <row r="12" spans="1:24" ht="17.25" thickBot="1" x14ac:dyDescent="0.35">
      <c r="J12" s="110"/>
      <c r="K12" s="110"/>
      <c r="L12" s="110"/>
      <c r="P12" s="98">
        <v>2</v>
      </c>
      <c r="Q12" s="99" t="s">
        <v>122</v>
      </c>
      <c r="R12" s="99">
        <v>40</v>
      </c>
      <c r="S12" s="100" t="s">
        <v>123</v>
      </c>
      <c r="T12" s="98"/>
      <c r="U12" s="100" t="s">
        <v>129</v>
      </c>
      <c r="V12" s="98">
        <v>90</v>
      </c>
      <c r="W12" s="101">
        <v>90</v>
      </c>
    </row>
    <row r="13" spans="1:24" x14ac:dyDescent="0.3">
      <c r="A13" s="86" t="s">
        <v>37</v>
      </c>
      <c r="B13" s="87" t="s">
        <v>136</v>
      </c>
      <c r="C13" s="87"/>
      <c r="D13" s="87" t="s">
        <v>120</v>
      </c>
      <c r="E13" s="87"/>
      <c r="F13" s="87"/>
      <c r="G13" s="87">
        <v>9</v>
      </c>
      <c r="H13" s="87" t="s">
        <v>121</v>
      </c>
      <c r="I13" s="87"/>
      <c r="J13" s="88"/>
      <c r="K13" s="88"/>
      <c r="L13" s="89"/>
      <c r="P13" s="98">
        <v>4</v>
      </c>
      <c r="Q13" s="99" t="s">
        <v>122</v>
      </c>
      <c r="R13" s="99">
        <v>10</v>
      </c>
      <c r="S13" s="100" t="s">
        <v>123</v>
      </c>
      <c r="T13" s="98"/>
      <c r="U13" s="100"/>
      <c r="V13" s="98">
        <v>10</v>
      </c>
      <c r="W13" s="101"/>
    </row>
    <row r="14" spans="1:24" x14ac:dyDescent="0.3">
      <c r="A14" s="94"/>
      <c r="B14" s="95"/>
      <c r="C14" s="95"/>
      <c r="D14" s="95" t="s">
        <v>125</v>
      </c>
      <c r="E14" s="95">
        <v>1</v>
      </c>
      <c r="F14" s="95" t="s">
        <v>126</v>
      </c>
      <c r="G14" s="95">
        <v>27</v>
      </c>
      <c r="H14" s="95" t="s">
        <v>121</v>
      </c>
      <c r="I14" s="95"/>
      <c r="J14" s="96"/>
      <c r="K14" s="96"/>
      <c r="L14" s="97"/>
      <c r="P14" s="98">
        <v>4</v>
      </c>
      <c r="Q14" s="99" t="s">
        <v>122</v>
      </c>
      <c r="R14" s="99">
        <v>20</v>
      </c>
      <c r="S14" s="100" t="s">
        <v>123</v>
      </c>
      <c r="T14" s="98"/>
      <c r="U14" s="100" t="s">
        <v>129</v>
      </c>
      <c r="V14" s="98"/>
      <c r="W14" s="101">
        <v>100</v>
      </c>
    </row>
    <row r="15" spans="1:24" ht="17.25" thickBot="1" x14ac:dyDescent="0.35">
      <c r="A15" s="94"/>
      <c r="B15" s="95"/>
      <c r="C15" s="95"/>
      <c r="D15" s="95" t="s">
        <v>128</v>
      </c>
      <c r="E15" s="95">
        <v>1</v>
      </c>
      <c r="F15" s="95" t="s">
        <v>126</v>
      </c>
      <c r="G15" s="95">
        <v>13</v>
      </c>
      <c r="H15" s="95" t="s">
        <v>121</v>
      </c>
      <c r="I15" s="95"/>
      <c r="J15" s="96"/>
      <c r="K15" s="96"/>
      <c r="L15" s="97"/>
      <c r="P15" s="111">
        <v>6</v>
      </c>
      <c r="Q15" s="112" t="s">
        <v>122</v>
      </c>
      <c r="R15" s="112">
        <v>0</v>
      </c>
      <c r="S15" s="113" t="s">
        <v>123</v>
      </c>
      <c r="T15" s="111"/>
      <c r="U15" s="113"/>
      <c r="V15" s="111"/>
      <c r="W15" s="114"/>
    </row>
    <row r="16" spans="1:24" ht="17.25" thickBot="1" x14ac:dyDescent="0.35">
      <c r="A16" s="94"/>
      <c r="B16" s="95"/>
      <c r="C16" s="95"/>
      <c r="D16" s="95" t="s">
        <v>130</v>
      </c>
      <c r="E16" s="95">
        <v>1</v>
      </c>
      <c r="F16" s="95" t="s">
        <v>126</v>
      </c>
      <c r="G16" s="95">
        <v>13</v>
      </c>
      <c r="H16" s="95" t="s">
        <v>121</v>
      </c>
      <c r="I16" s="95"/>
      <c r="J16" s="96"/>
      <c r="K16" s="96"/>
      <c r="L16" s="97"/>
      <c r="P16" s="115"/>
      <c r="Q16" s="116"/>
      <c r="R16" s="116"/>
      <c r="S16" s="117"/>
      <c r="T16" s="115"/>
      <c r="U16" s="117"/>
      <c r="V16" s="115">
        <f>SUM(V4:V15)</f>
        <v>210</v>
      </c>
      <c r="W16" s="118">
        <f>SUM(W4:W15)</f>
        <v>490</v>
      </c>
      <c r="X16">
        <f>W16/60</f>
        <v>8.1666666666666661</v>
      </c>
    </row>
    <row r="17" spans="1:23" x14ac:dyDescent="0.3">
      <c r="A17" s="94"/>
      <c r="B17" s="95"/>
      <c r="C17" s="95"/>
      <c r="D17" s="95" t="s">
        <v>132</v>
      </c>
      <c r="E17" s="95">
        <v>1</v>
      </c>
      <c r="F17" s="95" t="s">
        <v>126</v>
      </c>
      <c r="G17" s="95">
        <v>13</v>
      </c>
      <c r="H17" s="95" t="s">
        <v>121</v>
      </c>
      <c r="I17" s="95"/>
      <c r="J17" s="96"/>
      <c r="K17" s="96"/>
      <c r="L17" s="97"/>
      <c r="M17" s="119">
        <f>L20/4</f>
        <v>0</v>
      </c>
      <c r="W17">
        <f>W16/60</f>
        <v>8.1666666666666661</v>
      </c>
    </row>
    <row r="18" spans="1:23" x14ac:dyDescent="0.3">
      <c r="A18" s="94"/>
      <c r="B18" s="95"/>
      <c r="C18" s="95"/>
      <c r="D18" s="95" t="s">
        <v>133</v>
      </c>
      <c r="E18" s="95">
        <v>1</v>
      </c>
      <c r="F18" s="95" t="s">
        <v>126</v>
      </c>
      <c r="G18" s="95">
        <v>8</v>
      </c>
      <c r="H18" s="95" t="s">
        <v>121</v>
      </c>
      <c r="I18" s="95"/>
      <c r="J18" s="96"/>
      <c r="K18" s="96"/>
      <c r="L18" s="97"/>
    </row>
    <row r="19" spans="1:23" ht="17.25" thickBot="1" x14ac:dyDescent="0.35">
      <c r="A19" s="94"/>
      <c r="B19" s="95"/>
      <c r="C19" s="95"/>
      <c r="D19" s="95" t="s">
        <v>135</v>
      </c>
      <c r="E19" s="95"/>
      <c r="F19" s="95"/>
      <c r="G19" s="95">
        <v>4</v>
      </c>
      <c r="H19" s="95" t="s">
        <v>121</v>
      </c>
      <c r="I19" s="95"/>
      <c r="J19" s="96"/>
      <c r="K19" s="96"/>
      <c r="L19" s="97"/>
    </row>
    <row r="20" spans="1:23" ht="18" thickTop="1" thickBot="1" x14ac:dyDescent="0.35">
      <c r="A20" s="106"/>
      <c r="B20" s="107"/>
      <c r="C20" s="107"/>
      <c r="D20" s="107"/>
      <c r="E20" s="107">
        <f>SUM(E13:E19)</f>
        <v>5</v>
      </c>
      <c r="F20" s="107"/>
      <c r="G20" s="107">
        <f>SUM(G13:G19)</f>
        <v>87</v>
      </c>
      <c r="H20" s="107">
        <f>G20/60</f>
        <v>1.45</v>
      </c>
      <c r="I20" s="107"/>
      <c r="J20" s="108">
        <f>ROUND(E20/H20,-1)</f>
        <v>0</v>
      </c>
      <c r="K20" s="108">
        <f>J20*$K$1</f>
        <v>0</v>
      </c>
      <c r="L20" s="109">
        <f>K20*$L$1</f>
        <v>0</v>
      </c>
    </row>
    <row r="21" spans="1:23" ht="17.25" thickBot="1" x14ac:dyDescent="0.35"/>
    <row r="22" spans="1:23" x14ac:dyDescent="0.3">
      <c r="A22" s="86" t="s">
        <v>46</v>
      </c>
      <c r="B22" s="87" t="s">
        <v>137</v>
      </c>
      <c r="C22" s="87" t="s">
        <v>138</v>
      </c>
      <c r="D22" s="87" t="s">
        <v>139</v>
      </c>
      <c r="E22" s="87"/>
      <c r="F22" s="87"/>
      <c r="G22" s="87">
        <v>10</v>
      </c>
      <c r="H22" s="87" t="s">
        <v>121</v>
      </c>
      <c r="I22" s="87"/>
      <c r="J22" s="88"/>
      <c r="K22" s="88"/>
      <c r="L22" s="89"/>
    </row>
    <row r="23" spans="1:23" x14ac:dyDescent="0.3">
      <c r="A23" s="94"/>
      <c r="B23" s="95"/>
      <c r="C23" s="95" t="s">
        <v>140</v>
      </c>
      <c r="D23" s="95" t="s">
        <v>141</v>
      </c>
      <c r="E23" s="95">
        <v>4</v>
      </c>
      <c r="F23" s="95" t="s">
        <v>142</v>
      </c>
      <c r="G23" s="95">
        <v>16</v>
      </c>
      <c r="H23" s="95" t="s">
        <v>121</v>
      </c>
      <c r="I23" s="95"/>
      <c r="J23" s="96"/>
      <c r="K23" s="96"/>
      <c r="L23" s="97"/>
    </row>
    <row r="24" spans="1:23" ht="17.25" thickBot="1" x14ac:dyDescent="0.35">
      <c r="A24" s="94"/>
      <c r="B24" s="95"/>
      <c r="C24" s="95" t="s">
        <v>143</v>
      </c>
      <c r="D24" s="95" t="s">
        <v>144</v>
      </c>
      <c r="E24" s="95"/>
      <c r="F24" s="95"/>
      <c r="G24" s="95">
        <v>10</v>
      </c>
      <c r="H24" s="95" t="s">
        <v>121</v>
      </c>
      <c r="I24" s="95"/>
      <c r="J24" s="96"/>
      <c r="K24" s="96"/>
      <c r="L24" s="97"/>
    </row>
    <row r="25" spans="1:23" ht="17.25" hidden="1" thickBot="1" x14ac:dyDescent="0.35">
      <c r="A25" s="94"/>
      <c r="B25" s="95"/>
      <c r="C25" s="95"/>
      <c r="D25" s="95"/>
      <c r="E25" s="95"/>
      <c r="F25" s="95"/>
      <c r="G25" s="95"/>
      <c r="H25" s="95"/>
      <c r="I25" s="95"/>
      <c r="J25" s="96"/>
      <c r="K25" s="96"/>
      <c r="L25" s="97"/>
    </row>
    <row r="26" spans="1:23" ht="17.25" hidden="1" thickBot="1" x14ac:dyDescent="0.35">
      <c r="A26" s="94"/>
      <c r="B26" s="95"/>
      <c r="C26" s="95"/>
      <c r="D26" s="95"/>
      <c r="E26" s="95"/>
      <c r="F26" s="95"/>
      <c r="G26" s="95"/>
      <c r="H26" s="95"/>
      <c r="I26" s="95"/>
      <c r="J26" s="96"/>
      <c r="K26" s="96"/>
      <c r="L26" s="97"/>
    </row>
    <row r="27" spans="1:23" ht="17.25" hidden="1" thickBot="1" x14ac:dyDescent="0.35">
      <c r="A27" s="94"/>
      <c r="B27" s="95"/>
      <c r="C27" s="95"/>
      <c r="D27" s="95"/>
      <c r="E27" s="95"/>
      <c r="F27" s="95"/>
      <c r="G27" s="95"/>
      <c r="H27" s="95"/>
      <c r="I27" s="95"/>
      <c r="J27" s="96"/>
      <c r="K27" s="96"/>
      <c r="L27" s="97"/>
    </row>
    <row r="28" spans="1:23" ht="17.25" hidden="1" thickBot="1" x14ac:dyDescent="0.35">
      <c r="A28" s="94"/>
      <c r="B28" s="95"/>
      <c r="C28" s="95"/>
      <c r="D28" s="95"/>
      <c r="E28" s="95"/>
      <c r="F28" s="95"/>
      <c r="G28" s="95"/>
      <c r="H28" s="95"/>
      <c r="I28" s="95"/>
      <c r="J28" s="96"/>
      <c r="K28" s="96"/>
      <c r="L28" s="97"/>
      <c r="M28" s="119"/>
    </row>
    <row r="29" spans="1:23" ht="17.25" hidden="1" thickBot="1" x14ac:dyDescent="0.35">
      <c r="A29" s="94"/>
      <c r="B29" s="95"/>
      <c r="C29" s="95"/>
      <c r="D29" s="95"/>
      <c r="E29" s="95"/>
      <c r="F29" s="95"/>
      <c r="G29" s="95"/>
      <c r="H29" s="95"/>
      <c r="I29" s="95"/>
      <c r="J29" s="96"/>
      <c r="K29" s="96"/>
      <c r="L29" s="97"/>
    </row>
    <row r="30" spans="1:23" ht="17.25" hidden="1" thickBot="1" x14ac:dyDescent="0.35">
      <c r="A30" s="94"/>
      <c r="B30" s="95"/>
      <c r="C30" s="95"/>
      <c r="D30" s="95"/>
      <c r="E30" s="95"/>
      <c r="F30" s="95"/>
      <c r="G30" s="95"/>
      <c r="H30" s="95"/>
      <c r="I30" s="95"/>
      <c r="J30" s="96"/>
      <c r="K30" s="96"/>
      <c r="L30" s="97"/>
    </row>
    <row r="31" spans="1:23" ht="18" thickTop="1" thickBot="1" x14ac:dyDescent="0.35">
      <c r="A31" s="106"/>
      <c r="B31" s="107"/>
      <c r="C31" s="107"/>
      <c r="D31" s="107"/>
      <c r="E31" s="107">
        <f>SUM(E23:E30)</f>
        <v>4</v>
      </c>
      <c r="F31" s="107"/>
      <c r="G31" s="107">
        <f>SUM(G22:G30)</f>
        <v>36</v>
      </c>
      <c r="H31" s="107">
        <f>G31/60</f>
        <v>0.6</v>
      </c>
      <c r="I31" s="107"/>
      <c r="J31" s="108">
        <f>ROUND(E31/H31,-1)</f>
        <v>10</v>
      </c>
      <c r="K31" s="108">
        <f>J31*$K$1</f>
        <v>600</v>
      </c>
      <c r="L31" s="109">
        <f>K31*$L$1</f>
        <v>4800</v>
      </c>
    </row>
    <row r="32" spans="1:23" ht="17.25" thickBot="1" x14ac:dyDescent="0.35"/>
    <row r="33" spans="1:12" x14ac:dyDescent="0.3">
      <c r="A33" s="86" t="s">
        <v>47</v>
      </c>
      <c r="B33" s="87" t="s">
        <v>145</v>
      </c>
      <c r="C33" s="87" t="s">
        <v>146</v>
      </c>
      <c r="D33" s="87" t="s">
        <v>139</v>
      </c>
      <c r="E33" s="87"/>
      <c r="F33" s="87"/>
      <c r="G33" s="87">
        <v>20</v>
      </c>
      <c r="H33" s="87"/>
      <c r="I33" s="87"/>
      <c r="J33" s="88"/>
      <c r="K33" s="88"/>
      <c r="L33" s="89"/>
    </row>
    <row r="34" spans="1:12" x14ac:dyDescent="0.3">
      <c r="A34" s="94"/>
      <c r="B34" s="95"/>
      <c r="C34" s="95"/>
      <c r="D34" s="95" t="s">
        <v>141</v>
      </c>
      <c r="E34" s="95">
        <v>1</v>
      </c>
      <c r="F34" s="95"/>
      <c r="G34" s="95">
        <v>25</v>
      </c>
      <c r="H34" s="95"/>
      <c r="I34" s="95"/>
      <c r="J34" s="96"/>
      <c r="K34" s="96"/>
      <c r="L34" s="97"/>
    </row>
    <row r="35" spans="1:12" ht="17.25" thickBot="1" x14ac:dyDescent="0.35">
      <c r="A35" s="94"/>
      <c r="B35" s="95"/>
      <c r="C35" s="95"/>
      <c r="D35" s="95" t="s">
        <v>147</v>
      </c>
      <c r="E35" s="95"/>
      <c r="F35" s="95"/>
      <c r="G35" s="95">
        <v>10</v>
      </c>
      <c r="H35" s="95"/>
      <c r="I35" s="95"/>
      <c r="J35" s="96"/>
      <c r="K35" s="96"/>
      <c r="L35" s="97"/>
    </row>
    <row r="36" spans="1:12" ht="18" thickTop="1" thickBot="1" x14ac:dyDescent="0.35">
      <c r="A36" s="106"/>
      <c r="B36" s="107"/>
      <c r="C36" s="107"/>
      <c r="D36" s="107"/>
      <c r="E36" s="107">
        <f>SUM(E34:E35)</f>
        <v>1</v>
      </c>
      <c r="F36" s="107"/>
      <c r="G36" s="107">
        <f>SUM(G33:G35)</f>
        <v>55</v>
      </c>
      <c r="H36" s="107">
        <f>G36/60</f>
        <v>0.91666666666666663</v>
      </c>
      <c r="I36" s="107"/>
      <c r="J36" s="108">
        <f>ROUND(E36/H36,-1)</f>
        <v>0</v>
      </c>
      <c r="K36" s="108">
        <f>J36*$K$1</f>
        <v>0</v>
      </c>
      <c r="L36" s="109">
        <f>K36*$L$1</f>
        <v>0</v>
      </c>
    </row>
    <row r="37" spans="1:12" ht="17.25" thickBot="1" x14ac:dyDescent="0.35"/>
    <row r="38" spans="1:12" ht="17.25" thickBot="1" x14ac:dyDescent="0.35">
      <c r="A38" s="86" t="s">
        <v>48</v>
      </c>
      <c r="B38" s="87" t="s">
        <v>148</v>
      </c>
      <c r="C38" s="87"/>
      <c r="D38" s="87" t="s">
        <v>149</v>
      </c>
      <c r="E38" s="87">
        <v>4</v>
      </c>
      <c r="F38" s="87"/>
      <c r="G38" s="87">
        <v>20</v>
      </c>
      <c r="H38" s="87"/>
      <c r="I38" s="87"/>
      <c r="J38" s="88"/>
      <c r="K38" s="88"/>
      <c r="L38" s="89"/>
    </row>
    <row r="39" spans="1:12" ht="17.25" hidden="1" thickBot="1" x14ac:dyDescent="0.35">
      <c r="A39" s="94"/>
      <c r="B39" s="95"/>
      <c r="C39" s="95"/>
      <c r="D39" s="95"/>
      <c r="E39" s="95"/>
      <c r="F39" s="95"/>
      <c r="G39" s="95"/>
      <c r="H39" s="95"/>
      <c r="I39" s="95"/>
      <c r="J39" s="96"/>
      <c r="K39" s="96"/>
      <c r="L39" s="97"/>
    </row>
    <row r="40" spans="1:12" ht="17.25" hidden="1" thickBot="1" x14ac:dyDescent="0.35">
      <c r="A40" s="94"/>
      <c r="B40" s="95"/>
      <c r="C40" s="95"/>
      <c r="D40" s="95"/>
      <c r="E40" s="95"/>
      <c r="F40" s="95"/>
      <c r="G40" s="95"/>
      <c r="H40" s="95"/>
      <c r="I40" s="95"/>
      <c r="J40" s="96"/>
      <c r="K40" s="96"/>
      <c r="L40" s="97"/>
    </row>
    <row r="41" spans="1:12" ht="17.25" hidden="1" thickBot="1" x14ac:dyDescent="0.35">
      <c r="A41" s="94"/>
      <c r="B41" s="95"/>
      <c r="C41" s="95"/>
      <c r="D41" s="95"/>
      <c r="E41" s="95"/>
      <c r="F41" s="95"/>
      <c r="G41" s="95"/>
      <c r="H41" s="95"/>
      <c r="I41" s="95"/>
      <c r="J41" s="96"/>
      <c r="K41" s="96"/>
      <c r="L41" s="97"/>
    </row>
    <row r="42" spans="1:12" ht="17.25" hidden="1" thickBot="1" x14ac:dyDescent="0.35">
      <c r="A42" s="94"/>
      <c r="B42" s="95"/>
      <c r="C42" s="95"/>
      <c r="D42" s="95"/>
      <c r="E42" s="95"/>
      <c r="F42" s="95"/>
      <c r="G42" s="95"/>
      <c r="H42" s="95"/>
      <c r="I42" s="95"/>
      <c r="J42" s="96"/>
      <c r="K42" s="96"/>
      <c r="L42" s="97"/>
    </row>
    <row r="43" spans="1:12" ht="17.25" hidden="1" thickBot="1" x14ac:dyDescent="0.35">
      <c r="A43" s="94"/>
      <c r="B43" s="95"/>
      <c r="C43" s="95"/>
      <c r="D43" s="95"/>
      <c r="E43" s="95"/>
      <c r="F43" s="95"/>
      <c r="G43" s="95"/>
      <c r="H43" s="95"/>
      <c r="I43" s="95"/>
      <c r="J43" s="96"/>
      <c r="K43" s="96"/>
      <c r="L43" s="97"/>
    </row>
    <row r="44" spans="1:12" ht="17.25" hidden="1" thickBot="1" x14ac:dyDescent="0.35">
      <c r="A44" s="94"/>
      <c r="B44" s="95"/>
      <c r="C44" s="95"/>
      <c r="D44" s="95"/>
      <c r="E44" s="95"/>
      <c r="F44" s="95"/>
      <c r="G44" s="95"/>
      <c r="H44" s="95"/>
      <c r="I44" s="95"/>
      <c r="J44" s="96"/>
      <c r="K44" s="96"/>
      <c r="L44" s="97"/>
    </row>
    <row r="45" spans="1:12" ht="17.25" hidden="1" thickBot="1" x14ac:dyDescent="0.35">
      <c r="A45" s="94"/>
      <c r="B45" s="95"/>
      <c r="C45" s="95"/>
      <c r="D45" s="95"/>
      <c r="E45" s="95"/>
      <c r="F45" s="95"/>
      <c r="G45" s="95"/>
      <c r="H45" s="95"/>
      <c r="I45" s="95"/>
      <c r="J45" s="96"/>
      <c r="K45" s="96"/>
      <c r="L45" s="97"/>
    </row>
    <row r="46" spans="1:12" ht="17.25" hidden="1" thickBot="1" x14ac:dyDescent="0.35">
      <c r="A46" s="94"/>
      <c r="B46" s="95"/>
      <c r="C46" s="95"/>
      <c r="D46" s="95"/>
      <c r="E46" s="95"/>
      <c r="F46" s="95"/>
      <c r="G46" s="95"/>
      <c r="H46" s="95"/>
      <c r="I46" s="95"/>
      <c r="J46" s="96"/>
      <c r="K46" s="96"/>
      <c r="L46" s="97"/>
    </row>
    <row r="47" spans="1:12" ht="18" thickTop="1" thickBot="1" x14ac:dyDescent="0.35">
      <c r="A47" s="106"/>
      <c r="B47" s="107"/>
      <c r="C47" s="107"/>
      <c r="D47" s="107"/>
      <c r="E47" s="107">
        <f>SUM(E39:E46)</f>
        <v>0</v>
      </c>
      <c r="F47" s="107"/>
      <c r="G47" s="107">
        <f>SUM(G38:G46)</f>
        <v>20</v>
      </c>
      <c r="H47" s="107">
        <f>G47/60</f>
        <v>0.33333333333333331</v>
      </c>
      <c r="I47" s="107"/>
      <c r="J47" s="108">
        <f>ROUND(E47/H47,-1)</f>
        <v>0</v>
      </c>
      <c r="K47" s="108">
        <f>J47*$K$1</f>
        <v>0</v>
      </c>
      <c r="L47" s="109">
        <f>K47*$L$1</f>
        <v>0</v>
      </c>
    </row>
    <row r="48" spans="1:12" ht="17.25" thickBot="1" x14ac:dyDescent="0.35"/>
    <row r="49" spans="1:12" x14ac:dyDescent="0.3">
      <c r="A49" s="86" t="s">
        <v>49</v>
      </c>
      <c r="B49" s="87"/>
      <c r="C49" s="87" t="s">
        <v>150</v>
      </c>
      <c r="D49" s="87" t="s">
        <v>151</v>
      </c>
      <c r="E49" s="87">
        <v>1</v>
      </c>
      <c r="F49" s="87"/>
      <c r="G49" s="87">
        <v>3</v>
      </c>
      <c r="H49" s="87"/>
      <c r="I49" s="87"/>
      <c r="J49" s="88"/>
      <c r="K49" s="88"/>
      <c r="L49" s="89"/>
    </row>
    <row r="50" spans="1:12" x14ac:dyDescent="0.3">
      <c r="A50" s="94"/>
      <c r="B50" s="95"/>
      <c r="C50" s="95" t="s">
        <v>152</v>
      </c>
      <c r="D50" s="95"/>
      <c r="E50" s="95"/>
      <c r="F50" s="95"/>
      <c r="G50" s="95">
        <v>3</v>
      </c>
      <c r="H50" s="95"/>
      <c r="I50" s="95"/>
      <c r="J50" s="96"/>
      <c r="K50" s="96"/>
      <c r="L50" s="97"/>
    </row>
    <row r="51" spans="1:12" x14ac:dyDescent="0.3">
      <c r="A51" s="94"/>
      <c r="B51" s="95"/>
      <c r="C51" s="95" t="s">
        <v>153</v>
      </c>
      <c r="D51" s="95" t="s">
        <v>154</v>
      </c>
      <c r="E51" s="95"/>
      <c r="F51" s="95"/>
      <c r="G51" s="95">
        <v>5</v>
      </c>
      <c r="H51" s="95"/>
      <c r="I51" s="95"/>
      <c r="J51" s="96"/>
      <c r="K51" s="96"/>
      <c r="L51" s="97"/>
    </row>
    <row r="52" spans="1:12" ht="17.25" thickBot="1" x14ac:dyDescent="0.35">
      <c r="A52" s="94"/>
      <c r="B52" s="95"/>
      <c r="C52" s="95" t="s">
        <v>155</v>
      </c>
      <c r="D52" s="95" t="s">
        <v>156</v>
      </c>
      <c r="E52" s="95"/>
      <c r="F52" s="95"/>
      <c r="G52" s="95">
        <v>25</v>
      </c>
      <c r="H52" s="95"/>
      <c r="I52" s="95"/>
      <c r="J52" s="96"/>
      <c r="K52" s="96"/>
      <c r="L52" s="97"/>
    </row>
    <row r="53" spans="1:12" ht="18" thickTop="1" thickBot="1" x14ac:dyDescent="0.35">
      <c r="A53" s="106"/>
      <c r="B53" s="107"/>
      <c r="C53" s="107"/>
      <c r="D53" s="107"/>
      <c r="E53" s="107">
        <f>SUM(E50:E52)</f>
        <v>0</v>
      </c>
      <c r="F53" s="107"/>
      <c r="G53" s="107">
        <f>SUM(G49:G52)</f>
        <v>36</v>
      </c>
      <c r="H53" s="107">
        <f>G53/60</f>
        <v>0.6</v>
      </c>
      <c r="I53" s="107"/>
      <c r="J53" s="108">
        <f>ROUND(E53/H53,-1)</f>
        <v>0</v>
      </c>
      <c r="K53" s="108">
        <f>J53*$K$1</f>
        <v>0</v>
      </c>
      <c r="L53" s="109">
        <f>K53*$L$1</f>
        <v>0</v>
      </c>
    </row>
    <row r="54" spans="1:12" ht="17.25" thickBot="1" x14ac:dyDescent="0.35"/>
    <row r="55" spans="1:12" x14ac:dyDescent="0.3">
      <c r="A55" s="86" t="s">
        <v>157</v>
      </c>
      <c r="B55" s="87" t="s">
        <v>158</v>
      </c>
      <c r="C55" s="87" t="s">
        <v>159</v>
      </c>
      <c r="D55" s="87" t="s">
        <v>139</v>
      </c>
      <c r="E55" s="87"/>
      <c r="F55" s="87"/>
      <c r="G55" s="87">
        <v>80</v>
      </c>
      <c r="H55" s="87"/>
      <c r="I55" s="87"/>
      <c r="J55" s="88"/>
      <c r="K55" s="88"/>
      <c r="L55" s="89"/>
    </row>
    <row r="56" spans="1:12" ht="17.25" thickBot="1" x14ac:dyDescent="0.35">
      <c r="A56" s="94"/>
      <c r="B56" s="95"/>
      <c r="C56" s="95"/>
      <c r="D56" s="95" t="s">
        <v>160</v>
      </c>
      <c r="E56" s="95">
        <v>1</v>
      </c>
      <c r="F56" s="95"/>
      <c r="G56" s="95">
        <v>5</v>
      </c>
      <c r="H56" s="95"/>
      <c r="I56" s="95"/>
      <c r="J56" s="96"/>
      <c r="K56" s="96"/>
      <c r="L56" s="97"/>
    </row>
    <row r="57" spans="1:12" ht="18" thickTop="1" thickBot="1" x14ac:dyDescent="0.35">
      <c r="A57" s="106"/>
      <c r="B57" s="107"/>
      <c r="C57" s="107"/>
      <c r="D57" s="107"/>
      <c r="E57" s="107">
        <f>SUM(E56:E56)</f>
        <v>1</v>
      </c>
      <c r="F57" s="107"/>
      <c r="G57" s="107">
        <f>SUM(G55:G56)</f>
        <v>85</v>
      </c>
      <c r="H57" s="107">
        <f>G57/60</f>
        <v>1.4166666666666667</v>
      </c>
      <c r="I57" s="107"/>
      <c r="J57" s="108">
        <f>ROUND(E57/H57,-1)</f>
        <v>0</v>
      </c>
      <c r="K57" s="108">
        <f>J57*$K$1</f>
        <v>0</v>
      </c>
      <c r="L57" s="109">
        <f>K57*$L$1</f>
        <v>0</v>
      </c>
    </row>
    <row r="58" spans="1:12" ht="17.25" thickBot="1" x14ac:dyDescent="0.35"/>
    <row r="59" spans="1:12" x14ac:dyDescent="0.3">
      <c r="A59" s="86" t="s">
        <v>52</v>
      </c>
      <c r="B59" s="87"/>
      <c r="C59" s="87" t="s">
        <v>159</v>
      </c>
      <c r="D59" s="87" t="s">
        <v>139</v>
      </c>
      <c r="E59" s="87"/>
      <c r="F59" s="87"/>
      <c r="G59" s="87">
        <v>100</v>
      </c>
      <c r="H59" s="87" t="s">
        <v>121</v>
      </c>
      <c r="I59" s="87"/>
      <c r="J59" s="88"/>
      <c r="K59" s="88"/>
      <c r="L59" s="89"/>
    </row>
    <row r="60" spans="1:12" x14ac:dyDescent="0.3">
      <c r="A60" s="94"/>
      <c r="B60" s="95"/>
      <c r="C60" s="95" t="s">
        <v>161</v>
      </c>
      <c r="D60" s="95" t="s">
        <v>162</v>
      </c>
      <c r="E60" s="95">
        <v>1</v>
      </c>
      <c r="F60" s="95" t="s">
        <v>142</v>
      </c>
      <c r="G60" s="95">
        <v>1</v>
      </c>
      <c r="H60" s="95" t="s">
        <v>121</v>
      </c>
      <c r="I60" s="95"/>
      <c r="J60" s="96"/>
      <c r="K60" s="96"/>
      <c r="L60" s="97"/>
    </row>
    <row r="61" spans="1:12" x14ac:dyDescent="0.3">
      <c r="A61" s="94"/>
      <c r="B61" s="95"/>
      <c r="C61" s="95"/>
      <c r="D61" s="95" t="s">
        <v>139</v>
      </c>
      <c r="E61" s="95"/>
      <c r="F61" s="95"/>
      <c r="G61" s="95">
        <v>5</v>
      </c>
      <c r="H61" s="95" t="s">
        <v>121</v>
      </c>
      <c r="I61" s="95"/>
      <c r="J61" s="96"/>
      <c r="K61" s="96"/>
      <c r="L61" s="97"/>
    </row>
    <row r="62" spans="1:12" x14ac:dyDescent="0.3">
      <c r="A62" s="94"/>
      <c r="B62" s="95"/>
      <c r="C62" s="95"/>
      <c r="D62" s="95" t="s">
        <v>163</v>
      </c>
      <c r="E62" s="95"/>
      <c r="F62" s="95"/>
      <c r="G62" s="95">
        <v>2</v>
      </c>
      <c r="H62" s="95" t="s">
        <v>121</v>
      </c>
      <c r="I62" s="95"/>
      <c r="J62" s="96"/>
      <c r="K62" s="96"/>
      <c r="L62" s="97"/>
    </row>
    <row r="63" spans="1:12" x14ac:dyDescent="0.3">
      <c r="A63" s="94"/>
      <c r="B63" s="95"/>
      <c r="C63" s="95"/>
      <c r="D63" s="95" t="s">
        <v>139</v>
      </c>
      <c r="E63" s="95"/>
      <c r="F63" s="95"/>
      <c r="G63" s="95">
        <v>50</v>
      </c>
      <c r="H63" s="95" t="s">
        <v>121</v>
      </c>
      <c r="I63" s="95"/>
      <c r="J63" s="96"/>
      <c r="K63" s="96"/>
      <c r="L63" s="97"/>
    </row>
    <row r="64" spans="1:12" x14ac:dyDescent="0.3">
      <c r="A64" s="94"/>
      <c r="B64" s="95"/>
      <c r="C64" s="95"/>
      <c r="D64" s="95" t="s">
        <v>164</v>
      </c>
      <c r="E64" s="95"/>
      <c r="F64" s="95"/>
      <c r="G64" s="95">
        <v>1</v>
      </c>
      <c r="H64" s="95" t="s">
        <v>121</v>
      </c>
      <c r="I64" s="95"/>
      <c r="J64" s="96"/>
      <c r="K64" s="96"/>
      <c r="L64" s="97"/>
    </row>
    <row r="65" spans="1:12" x14ac:dyDescent="0.3">
      <c r="A65" s="94"/>
      <c r="B65" s="95"/>
      <c r="C65" s="95"/>
      <c r="D65" s="95" t="s">
        <v>163</v>
      </c>
      <c r="E65" s="95"/>
      <c r="F65" s="95"/>
      <c r="G65" s="95">
        <v>2</v>
      </c>
      <c r="H65" s="95" t="s">
        <v>121</v>
      </c>
      <c r="I65" s="95"/>
      <c r="J65" s="96"/>
      <c r="K65" s="96"/>
      <c r="L65" s="97"/>
    </row>
    <row r="66" spans="1:12" ht="17.25" thickBot="1" x14ac:dyDescent="0.35">
      <c r="A66" s="94"/>
      <c r="B66" s="95"/>
      <c r="C66" s="95"/>
      <c r="D66" s="95" t="s">
        <v>144</v>
      </c>
      <c r="E66" s="95"/>
      <c r="F66" s="95"/>
      <c r="G66" s="95">
        <v>50</v>
      </c>
      <c r="H66" s="95" t="s">
        <v>121</v>
      </c>
      <c r="I66" s="95"/>
      <c r="J66" s="96"/>
      <c r="K66" s="96"/>
      <c r="L66" s="97"/>
    </row>
    <row r="67" spans="1:12" ht="18" thickTop="1" thickBot="1" x14ac:dyDescent="0.35">
      <c r="A67" s="106"/>
      <c r="B67" s="107"/>
      <c r="C67" s="107"/>
      <c r="D67" s="107"/>
      <c r="E67" s="107">
        <f>SUM(E60:E66)</f>
        <v>1</v>
      </c>
      <c r="F67" s="107"/>
      <c r="G67" s="107">
        <f>SUM(G59:G66)</f>
        <v>211</v>
      </c>
      <c r="H67" s="107">
        <f>G67/60</f>
        <v>3.5166666666666666</v>
      </c>
      <c r="I67" s="107"/>
      <c r="J67" s="108">
        <f>ROUND(E67/H67,-1)</f>
        <v>0</v>
      </c>
      <c r="K67" s="108">
        <f>J67*$K$1</f>
        <v>0</v>
      </c>
      <c r="L67" s="109">
        <f>K67*$L$1</f>
        <v>0</v>
      </c>
    </row>
    <row r="68" spans="1:12" ht="17.25" thickBot="1" x14ac:dyDescent="0.35"/>
    <row r="69" spans="1:12" x14ac:dyDescent="0.3">
      <c r="A69" s="86" t="s">
        <v>165</v>
      </c>
      <c r="B69" s="87" t="s">
        <v>166</v>
      </c>
      <c r="C69" s="87"/>
      <c r="D69" s="87" t="s">
        <v>149</v>
      </c>
      <c r="E69" s="87">
        <v>1</v>
      </c>
      <c r="F69" s="87"/>
      <c r="G69" s="87">
        <v>15</v>
      </c>
      <c r="H69" s="87"/>
      <c r="I69" s="87"/>
      <c r="J69" s="88"/>
      <c r="K69" s="88"/>
      <c r="L69" s="89"/>
    </row>
    <row r="70" spans="1:12" ht="17.25" thickBot="1" x14ac:dyDescent="0.35">
      <c r="A70" s="94"/>
      <c r="B70" s="95"/>
      <c r="C70" s="95"/>
      <c r="D70" s="95" t="s">
        <v>167</v>
      </c>
      <c r="E70" s="95">
        <v>1</v>
      </c>
      <c r="F70" s="95"/>
      <c r="G70" s="95">
        <v>10</v>
      </c>
      <c r="H70" s="95"/>
      <c r="I70" s="95"/>
      <c r="J70" s="96"/>
      <c r="K70" s="96"/>
      <c r="L70" s="97"/>
    </row>
    <row r="71" spans="1:12" ht="18" thickTop="1" thickBot="1" x14ac:dyDescent="0.35">
      <c r="A71" s="106"/>
      <c r="B71" s="107"/>
      <c r="C71" s="107"/>
      <c r="D71" s="107"/>
      <c r="E71" s="107">
        <f>SUM(E70:E70)</f>
        <v>1</v>
      </c>
      <c r="F71" s="107"/>
      <c r="G71" s="107">
        <f>SUM(G69:G70)</f>
        <v>25</v>
      </c>
      <c r="H71" s="107">
        <f>G71/60</f>
        <v>0.41666666666666669</v>
      </c>
      <c r="I71" s="107"/>
      <c r="J71" s="108">
        <f>ROUND(E71/H71,-1)</f>
        <v>0</v>
      </c>
      <c r="K71" s="108">
        <f>J71*$K$1</f>
        <v>0</v>
      </c>
      <c r="L71" s="109">
        <f>K71*$L$1</f>
        <v>0</v>
      </c>
    </row>
  </sheetData>
  <mergeCells count="1">
    <mergeCell ref="P1:W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7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BC408-E7DC-4B86-998A-B2298176E670}">
  <sheetPr>
    <pageSetUpPr fitToPage="1"/>
  </sheetPr>
  <dimension ref="A1:V55"/>
  <sheetViews>
    <sheetView view="pageBreakPreview" topLeftCell="A31" zoomScale="60" zoomScaleNormal="100" workbookViewId="0">
      <selection activeCell="AD52" sqref="AD52"/>
    </sheetView>
  </sheetViews>
  <sheetFormatPr defaultRowHeight="16.5" x14ac:dyDescent="0.3"/>
  <cols>
    <col min="1" max="8" width="5" customWidth="1"/>
    <col min="9" max="9" width="3.25" customWidth="1"/>
    <col min="10" max="10" width="10" style="1" customWidth="1"/>
    <col min="11" max="22" width="13.5" style="1" customWidth="1"/>
  </cols>
  <sheetData>
    <row r="1" spans="1:22" ht="31.5" x14ac:dyDescent="0.3">
      <c r="A1" s="144" t="s">
        <v>103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</row>
    <row r="2" spans="1:22" ht="31.5" x14ac:dyDescent="0.3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</row>
    <row r="3" spans="1:22" ht="20.25" customHeight="1" thickBot="1" x14ac:dyDescent="0.35">
      <c r="K3" s="46"/>
    </row>
    <row r="4" spans="1:22" ht="26.25" customHeight="1" thickBot="1" x14ac:dyDescent="0.35">
      <c r="J4" s="57" t="s">
        <v>61</v>
      </c>
      <c r="K4" s="58" t="s">
        <v>79</v>
      </c>
      <c r="L4" s="58" t="s">
        <v>2</v>
      </c>
      <c r="M4" s="58" t="s">
        <v>63</v>
      </c>
      <c r="N4" s="58" t="s">
        <v>70</v>
      </c>
      <c r="O4" s="58" t="s">
        <v>62</v>
      </c>
      <c r="P4" s="58" t="s">
        <v>71</v>
      </c>
      <c r="Q4" s="58" t="s">
        <v>57</v>
      </c>
      <c r="R4" s="58" t="s">
        <v>58</v>
      </c>
      <c r="S4" s="58" t="s">
        <v>59</v>
      </c>
      <c r="T4" s="58" t="s">
        <v>78</v>
      </c>
      <c r="U4" s="58" t="s">
        <v>60</v>
      </c>
      <c r="V4" s="59" t="s">
        <v>67</v>
      </c>
    </row>
    <row r="5" spans="1:22" ht="26.25" customHeight="1" thickTop="1" thickBot="1" x14ac:dyDescent="0.35">
      <c r="B5" s="70"/>
      <c r="C5" s="70"/>
      <c r="D5" s="70"/>
      <c r="E5" s="71" t="s">
        <v>73</v>
      </c>
      <c r="F5" s="70"/>
      <c r="G5" s="70"/>
      <c r="H5" s="70"/>
      <c r="J5" s="140" t="s">
        <v>65</v>
      </c>
      <c r="K5" s="60" t="s">
        <v>53</v>
      </c>
      <c r="L5" s="60" t="s">
        <v>64</v>
      </c>
      <c r="M5" s="60"/>
      <c r="N5" s="60"/>
      <c r="O5" s="60" t="s">
        <v>64</v>
      </c>
      <c r="P5" s="60"/>
      <c r="Q5" s="60" t="s">
        <v>64</v>
      </c>
      <c r="R5" s="60" t="s">
        <v>64</v>
      </c>
      <c r="S5" s="60" t="s">
        <v>64</v>
      </c>
      <c r="T5" s="60"/>
      <c r="U5" s="60" t="s">
        <v>64</v>
      </c>
      <c r="V5" s="61" t="s">
        <v>64</v>
      </c>
    </row>
    <row r="6" spans="1:22" ht="26.25" customHeight="1" thickBot="1" x14ac:dyDescent="0.35">
      <c r="B6" s="70"/>
      <c r="C6" s="72"/>
      <c r="D6" s="73"/>
      <c r="E6" s="73"/>
      <c r="F6" s="74"/>
      <c r="G6" s="72"/>
      <c r="H6" s="70"/>
      <c r="J6" s="141"/>
      <c r="K6" s="62" t="s">
        <v>54</v>
      </c>
      <c r="L6" s="62" t="s">
        <v>64</v>
      </c>
      <c r="M6" s="62"/>
      <c r="N6" s="62"/>
      <c r="O6" s="62"/>
      <c r="P6" s="62"/>
      <c r="Q6" s="62" t="s">
        <v>64</v>
      </c>
      <c r="R6" s="62" t="s">
        <v>64</v>
      </c>
      <c r="S6" s="62" t="s">
        <v>64</v>
      </c>
      <c r="T6" s="62"/>
      <c r="U6" s="62"/>
      <c r="V6" s="63"/>
    </row>
    <row r="7" spans="1:22" ht="26.25" customHeight="1" x14ac:dyDescent="0.3">
      <c r="B7" s="70"/>
      <c r="C7" s="75"/>
      <c r="D7" s="70"/>
      <c r="E7" s="70"/>
      <c r="F7" s="76"/>
      <c r="G7" s="75"/>
      <c r="H7" s="70"/>
      <c r="J7" s="141"/>
      <c r="K7" s="62" t="s">
        <v>55</v>
      </c>
      <c r="L7" s="62" t="s">
        <v>64</v>
      </c>
      <c r="M7" s="62"/>
      <c r="N7" s="62"/>
      <c r="O7" s="62"/>
      <c r="P7" s="62"/>
      <c r="Q7" s="62"/>
      <c r="R7" s="62" t="s">
        <v>64</v>
      </c>
      <c r="S7" s="62" t="s">
        <v>64</v>
      </c>
      <c r="T7" s="62"/>
      <c r="U7" s="62"/>
      <c r="V7" s="63"/>
    </row>
    <row r="8" spans="1:22" ht="26.25" customHeight="1" x14ac:dyDescent="0.3">
      <c r="B8" s="70"/>
      <c r="C8" s="75"/>
      <c r="D8" s="70"/>
      <c r="E8" s="70"/>
      <c r="F8" s="77"/>
      <c r="G8" s="75"/>
      <c r="H8" s="70"/>
      <c r="J8" s="141"/>
      <c r="K8" s="62" t="s">
        <v>56</v>
      </c>
      <c r="L8" s="62" t="s">
        <v>64</v>
      </c>
      <c r="M8" s="62"/>
      <c r="N8" s="62"/>
      <c r="O8" s="62"/>
      <c r="P8" s="62"/>
      <c r="Q8" s="62"/>
      <c r="R8" s="62"/>
      <c r="S8" s="62" t="s">
        <v>64</v>
      </c>
      <c r="T8" s="62"/>
      <c r="U8" s="62"/>
      <c r="V8" s="63"/>
    </row>
    <row r="9" spans="1:22" ht="26.25" customHeight="1" x14ac:dyDescent="0.3">
      <c r="B9" s="70"/>
      <c r="C9" s="75"/>
      <c r="D9" s="70"/>
      <c r="E9" s="70"/>
      <c r="F9" s="77"/>
      <c r="G9" s="75"/>
      <c r="H9" s="70"/>
      <c r="J9" s="141"/>
      <c r="K9" s="64" t="s">
        <v>77</v>
      </c>
      <c r="L9" s="64"/>
      <c r="M9" s="64"/>
      <c r="N9" s="64"/>
      <c r="O9" s="64"/>
      <c r="P9" s="64"/>
      <c r="Q9" s="64"/>
      <c r="R9" s="64"/>
      <c r="S9" s="64"/>
      <c r="T9" s="64"/>
      <c r="U9" s="64"/>
      <c r="V9" s="65"/>
    </row>
    <row r="10" spans="1:22" ht="26.25" customHeight="1" x14ac:dyDescent="0.3">
      <c r="B10" s="71" t="s">
        <v>75</v>
      </c>
      <c r="C10" s="75"/>
      <c r="D10" s="70"/>
      <c r="E10" s="70"/>
      <c r="F10" s="77"/>
      <c r="G10" s="75"/>
      <c r="H10" s="70"/>
      <c r="J10" s="142" t="s">
        <v>68</v>
      </c>
      <c r="K10" s="66" t="s">
        <v>53</v>
      </c>
      <c r="L10" s="66" t="s">
        <v>64</v>
      </c>
      <c r="M10" s="66" t="s">
        <v>64</v>
      </c>
      <c r="N10" s="66" t="s">
        <v>64</v>
      </c>
      <c r="O10" s="66"/>
      <c r="P10" s="66" t="s">
        <v>64</v>
      </c>
      <c r="Q10" s="66" t="s">
        <v>64</v>
      </c>
      <c r="R10" s="66" t="s">
        <v>64</v>
      </c>
      <c r="S10" s="66" t="s">
        <v>64</v>
      </c>
      <c r="T10" s="66"/>
      <c r="U10" s="66"/>
      <c r="V10" s="67" t="s">
        <v>64</v>
      </c>
    </row>
    <row r="11" spans="1:22" ht="26.25" customHeight="1" x14ac:dyDescent="0.3">
      <c r="B11" s="71"/>
      <c r="C11" s="75"/>
      <c r="D11" s="70"/>
      <c r="E11" s="70"/>
      <c r="F11" s="77"/>
      <c r="G11" s="75"/>
      <c r="H11" s="70"/>
      <c r="J11" s="142"/>
      <c r="K11" s="62" t="s">
        <v>54</v>
      </c>
      <c r="L11" s="62" t="s">
        <v>64</v>
      </c>
      <c r="M11" s="62"/>
      <c r="N11" s="62"/>
      <c r="O11" s="62"/>
      <c r="P11" s="62"/>
      <c r="Q11" s="62" t="s">
        <v>64</v>
      </c>
      <c r="R11" s="62" t="s">
        <v>64</v>
      </c>
      <c r="S11" s="62" t="s">
        <v>64</v>
      </c>
      <c r="T11" s="62"/>
      <c r="U11" s="62"/>
      <c r="V11" s="63"/>
    </row>
    <row r="12" spans="1:22" ht="26.25" customHeight="1" thickBot="1" x14ac:dyDescent="0.35">
      <c r="B12" s="70"/>
      <c r="C12" s="75"/>
      <c r="D12" s="70"/>
      <c r="E12" s="70"/>
      <c r="F12" s="77"/>
      <c r="G12" s="75"/>
      <c r="H12" s="70"/>
      <c r="J12" s="142"/>
      <c r="K12" s="62" t="s">
        <v>55</v>
      </c>
      <c r="L12" s="62" t="s">
        <v>64</v>
      </c>
      <c r="M12" s="62"/>
      <c r="N12" s="62"/>
      <c r="O12" s="62"/>
      <c r="P12" s="62"/>
      <c r="Q12" s="62"/>
      <c r="R12" s="62" t="s">
        <v>64</v>
      </c>
      <c r="S12" s="62" t="s">
        <v>64</v>
      </c>
      <c r="T12" s="62"/>
      <c r="U12" s="62"/>
      <c r="V12" s="63"/>
    </row>
    <row r="13" spans="1:22" ht="26.25" customHeight="1" thickBot="1" x14ac:dyDescent="0.35">
      <c r="B13" s="70"/>
      <c r="C13" s="78"/>
      <c r="D13" s="73"/>
      <c r="E13" s="73"/>
      <c r="F13" s="74"/>
      <c r="G13" s="78"/>
      <c r="H13" s="70"/>
      <c r="J13" s="142"/>
      <c r="K13" s="62" t="s">
        <v>56</v>
      </c>
      <c r="L13" s="62" t="s">
        <v>64</v>
      </c>
      <c r="M13" s="62"/>
      <c r="N13" s="62"/>
      <c r="O13" s="62"/>
      <c r="P13" s="62"/>
      <c r="Q13" s="62"/>
      <c r="R13" s="62"/>
      <c r="S13" s="62" t="s">
        <v>64</v>
      </c>
      <c r="T13" s="62"/>
      <c r="U13" s="62"/>
      <c r="V13" s="63"/>
    </row>
    <row r="14" spans="1:22" ht="26.25" customHeight="1" thickBot="1" x14ac:dyDescent="0.35">
      <c r="B14" s="70"/>
      <c r="C14" s="70"/>
      <c r="D14" s="70"/>
      <c r="E14" s="70"/>
      <c r="F14" s="70"/>
      <c r="G14" s="70"/>
      <c r="H14" s="70"/>
      <c r="J14" s="143"/>
      <c r="K14" s="68" t="s">
        <v>77</v>
      </c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9"/>
    </row>
    <row r="15" spans="1:22" ht="26.25" customHeight="1" x14ac:dyDescent="0.3"/>
    <row r="16" spans="1:22" ht="26.25" customHeight="1" thickBot="1" x14ac:dyDescent="0.35"/>
    <row r="17" spans="2:22" ht="26.25" customHeight="1" thickBot="1" x14ac:dyDescent="0.35">
      <c r="J17" s="57" t="s">
        <v>61</v>
      </c>
      <c r="K17" s="58" t="s">
        <v>79</v>
      </c>
      <c r="L17" s="58" t="s">
        <v>2</v>
      </c>
      <c r="M17" s="58" t="s">
        <v>63</v>
      </c>
      <c r="N17" s="58" t="s">
        <v>70</v>
      </c>
      <c r="O17" s="58" t="s">
        <v>62</v>
      </c>
      <c r="P17" s="58" t="s">
        <v>71</v>
      </c>
      <c r="Q17" s="58" t="s">
        <v>57</v>
      </c>
      <c r="R17" s="58" t="s">
        <v>58</v>
      </c>
      <c r="S17" s="58" t="s">
        <v>59</v>
      </c>
      <c r="T17" s="58" t="s">
        <v>78</v>
      </c>
      <c r="U17" s="58" t="s">
        <v>60</v>
      </c>
      <c r="V17" s="59" t="s">
        <v>67</v>
      </c>
    </row>
    <row r="18" spans="2:22" ht="26.25" customHeight="1" thickTop="1" thickBot="1" x14ac:dyDescent="0.35">
      <c r="B18" s="70"/>
      <c r="C18" s="70"/>
      <c r="D18" s="70"/>
      <c r="E18" s="71" t="s">
        <v>72</v>
      </c>
      <c r="F18" s="70"/>
      <c r="G18" s="70"/>
      <c r="H18" s="70"/>
      <c r="J18" s="140" t="s">
        <v>66</v>
      </c>
      <c r="K18" s="60" t="s">
        <v>53</v>
      </c>
      <c r="L18" s="60" t="s">
        <v>64</v>
      </c>
      <c r="M18" s="60" t="s">
        <v>64</v>
      </c>
      <c r="N18" s="60"/>
      <c r="O18" s="60"/>
      <c r="P18" s="60"/>
      <c r="Q18" s="60" t="s">
        <v>64</v>
      </c>
      <c r="R18" s="60" t="s">
        <v>64</v>
      </c>
      <c r="S18" s="60" t="s">
        <v>64</v>
      </c>
      <c r="T18" s="60"/>
      <c r="U18" s="60" t="s">
        <v>64</v>
      </c>
      <c r="V18" s="61" t="s">
        <v>64</v>
      </c>
    </row>
    <row r="19" spans="2:22" ht="26.25" customHeight="1" thickBot="1" x14ac:dyDescent="0.35">
      <c r="B19" s="70"/>
      <c r="C19" s="79"/>
      <c r="D19" s="73"/>
      <c r="E19" s="73"/>
      <c r="F19" s="73"/>
      <c r="G19" s="74"/>
      <c r="H19" s="70"/>
      <c r="J19" s="141"/>
      <c r="K19" s="62" t="s">
        <v>54</v>
      </c>
      <c r="L19" s="62" t="s">
        <v>64</v>
      </c>
      <c r="M19" s="62"/>
      <c r="N19" s="62"/>
      <c r="O19" s="62"/>
      <c r="P19" s="62"/>
      <c r="Q19" s="62" t="s">
        <v>64</v>
      </c>
      <c r="R19" s="62" t="s">
        <v>64</v>
      </c>
      <c r="S19" s="62" t="s">
        <v>64</v>
      </c>
      <c r="T19" s="62"/>
      <c r="U19" s="62"/>
      <c r="V19" s="63"/>
    </row>
    <row r="20" spans="2:22" ht="26.25" customHeight="1" x14ac:dyDescent="0.3">
      <c r="B20" s="70"/>
      <c r="C20" s="75"/>
      <c r="D20" s="70"/>
      <c r="E20" s="70"/>
      <c r="F20" s="77"/>
      <c r="G20" s="75"/>
      <c r="H20" s="70"/>
      <c r="J20" s="141"/>
      <c r="K20" s="62" t="s">
        <v>55</v>
      </c>
      <c r="L20" s="62" t="s">
        <v>64</v>
      </c>
      <c r="M20" s="62"/>
      <c r="N20" s="62"/>
      <c r="O20" s="62"/>
      <c r="P20" s="62"/>
      <c r="Q20" s="62"/>
      <c r="R20" s="62" t="s">
        <v>64</v>
      </c>
      <c r="S20" s="62" t="s">
        <v>64</v>
      </c>
      <c r="T20" s="62"/>
      <c r="U20" s="62"/>
      <c r="V20" s="63"/>
    </row>
    <row r="21" spans="2:22" ht="26.25" customHeight="1" x14ac:dyDescent="0.3">
      <c r="B21" s="70"/>
      <c r="C21" s="75"/>
      <c r="D21" s="70"/>
      <c r="E21" s="70"/>
      <c r="F21" s="77"/>
      <c r="G21" s="75"/>
      <c r="H21" s="70"/>
      <c r="J21" s="141"/>
      <c r="K21" s="62" t="s">
        <v>56</v>
      </c>
      <c r="L21" s="62" t="s">
        <v>64</v>
      </c>
      <c r="M21" s="62"/>
      <c r="N21" s="62"/>
      <c r="O21" s="62"/>
      <c r="P21" s="62"/>
      <c r="Q21" s="62"/>
      <c r="R21" s="62"/>
      <c r="S21" s="62" t="s">
        <v>64</v>
      </c>
      <c r="T21" s="62"/>
      <c r="U21" s="62"/>
      <c r="V21" s="63"/>
    </row>
    <row r="22" spans="2:22" ht="26.25" customHeight="1" x14ac:dyDescent="0.3">
      <c r="B22" s="70"/>
      <c r="C22" s="75"/>
      <c r="D22" s="70"/>
      <c r="E22" s="70"/>
      <c r="F22" s="77"/>
      <c r="G22" s="75"/>
      <c r="H22" s="70"/>
      <c r="J22" s="141"/>
      <c r="K22" s="64" t="s">
        <v>77</v>
      </c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5"/>
    </row>
    <row r="23" spans="2:22" ht="26.25" customHeight="1" x14ac:dyDescent="0.3">
      <c r="B23" s="71" t="s">
        <v>74</v>
      </c>
      <c r="C23" s="75"/>
      <c r="D23" s="70"/>
      <c r="E23" s="70"/>
      <c r="F23" s="77"/>
      <c r="G23" s="75"/>
      <c r="H23" s="70"/>
      <c r="J23" s="142" t="s">
        <v>69</v>
      </c>
      <c r="K23" s="66" t="s">
        <v>53</v>
      </c>
      <c r="L23" s="66" t="s">
        <v>64</v>
      </c>
      <c r="M23" s="66"/>
      <c r="N23" s="66"/>
      <c r="O23" s="66" t="s">
        <v>64</v>
      </c>
      <c r="P23" s="66" t="s">
        <v>64</v>
      </c>
      <c r="Q23" s="66" t="s">
        <v>64</v>
      </c>
      <c r="R23" s="66" t="s">
        <v>64</v>
      </c>
      <c r="S23" s="66" t="s">
        <v>64</v>
      </c>
      <c r="T23" s="66"/>
      <c r="U23" s="66"/>
      <c r="V23" s="67" t="s">
        <v>64</v>
      </c>
    </row>
    <row r="24" spans="2:22" ht="26.25" customHeight="1" x14ac:dyDescent="0.3">
      <c r="B24" s="71"/>
      <c r="C24" s="75"/>
      <c r="D24" s="70"/>
      <c r="E24" s="70"/>
      <c r="F24" s="77"/>
      <c r="G24" s="75"/>
      <c r="H24" s="70"/>
      <c r="J24" s="142"/>
      <c r="K24" s="62" t="s">
        <v>54</v>
      </c>
      <c r="L24" s="62" t="s">
        <v>64</v>
      </c>
      <c r="M24" s="62"/>
      <c r="N24" s="62"/>
      <c r="O24" s="62"/>
      <c r="P24" s="62"/>
      <c r="Q24" s="62" t="s">
        <v>64</v>
      </c>
      <c r="R24" s="62" t="s">
        <v>64</v>
      </c>
      <c r="S24" s="62" t="s">
        <v>64</v>
      </c>
      <c r="T24" s="62"/>
      <c r="U24" s="62"/>
      <c r="V24" s="63"/>
    </row>
    <row r="25" spans="2:22" ht="26.25" customHeight="1" thickBot="1" x14ac:dyDescent="0.35">
      <c r="B25" s="70"/>
      <c r="C25" s="78"/>
      <c r="D25" s="70"/>
      <c r="E25" s="70"/>
      <c r="F25" s="80"/>
      <c r="G25" s="78"/>
      <c r="H25" s="70"/>
      <c r="J25" s="142"/>
      <c r="K25" s="62" t="s">
        <v>55</v>
      </c>
      <c r="L25" s="62" t="s">
        <v>64</v>
      </c>
      <c r="M25" s="62"/>
      <c r="N25" s="62"/>
      <c r="O25" s="62"/>
      <c r="P25" s="62"/>
      <c r="Q25" s="62"/>
      <c r="R25" s="62" t="s">
        <v>64</v>
      </c>
      <c r="S25" s="62" t="s">
        <v>64</v>
      </c>
      <c r="T25" s="62"/>
      <c r="U25" s="62"/>
      <c r="V25" s="63"/>
    </row>
    <row r="26" spans="2:22" ht="26.25" customHeight="1" thickBot="1" x14ac:dyDescent="0.35">
      <c r="B26" s="70"/>
      <c r="C26" s="79"/>
      <c r="D26" s="73"/>
      <c r="E26" s="73"/>
      <c r="F26" s="73"/>
      <c r="G26" s="74"/>
      <c r="H26" s="70"/>
      <c r="J26" s="142"/>
      <c r="K26" s="62" t="s">
        <v>56</v>
      </c>
      <c r="L26" s="62" t="s">
        <v>64</v>
      </c>
      <c r="M26" s="62"/>
      <c r="N26" s="62"/>
      <c r="O26" s="62"/>
      <c r="P26" s="62"/>
      <c r="Q26" s="62"/>
      <c r="R26" s="62"/>
      <c r="S26" s="62" t="s">
        <v>64</v>
      </c>
      <c r="T26" s="62"/>
      <c r="U26" s="62"/>
      <c r="V26" s="63"/>
    </row>
    <row r="27" spans="2:22" ht="26.25" customHeight="1" thickBot="1" x14ac:dyDescent="0.35">
      <c r="B27" s="70"/>
      <c r="C27" s="70"/>
      <c r="D27" s="70"/>
      <c r="E27" s="70"/>
      <c r="F27" s="70"/>
      <c r="G27" s="70"/>
      <c r="H27" s="70"/>
      <c r="J27" s="143"/>
      <c r="K27" s="68" t="s">
        <v>77</v>
      </c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9"/>
    </row>
    <row r="28" spans="2:22" ht="26.25" customHeight="1" x14ac:dyDescent="0.3">
      <c r="B28" s="70"/>
      <c r="C28" s="70"/>
      <c r="D28" s="70"/>
      <c r="E28" s="70"/>
      <c r="F28" s="70"/>
      <c r="G28" s="70"/>
      <c r="H28" s="70"/>
    </row>
    <row r="29" spans="2:22" ht="26.25" customHeight="1" x14ac:dyDescent="0.3">
      <c r="B29" s="81"/>
      <c r="C29" s="81"/>
      <c r="D29" s="81"/>
      <c r="E29" s="81"/>
      <c r="F29" s="81"/>
      <c r="G29" s="81"/>
      <c r="H29" s="81"/>
      <c r="I29" s="21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</row>
    <row r="30" spans="2:22" ht="26.25" customHeight="1" x14ac:dyDescent="0.3">
      <c r="B30" s="70"/>
      <c r="C30" s="70"/>
      <c r="D30" s="70"/>
      <c r="E30" s="70"/>
      <c r="F30" s="70"/>
      <c r="G30" s="70"/>
      <c r="H30" s="70"/>
    </row>
    <row r="31" spans="2:22" ht="26.25" customHeight="1" thickBot="1" x14ac:dyDescent="0.35">
      <c r="B31" s="70"/>
      <c r="C31" s="70"/>
      <c r="D31" s="70"/>
      <c r="E31" s="70"/>
      <c r="F31" s="70"/>
      <c r="G31" s="70"/>
      <c r="H31" s="70"/>
      <c r="K31" s="46"/>
    </row>
    <row r="32" spans="2:22" ht="26.25" customHeight="1" thickBot="1" x14ac:dyDescent="0.35">
      <c r="B32" s="70"/>
      <c r="C32" s="70"/>
      <c r="D32" s="70"/>
      <c r="E32" s="70"/>
      <c r="F32" s="70"/>
      <c r="G32" s="70"/>
      <c r="H32" s="70"/>
      <c r="J32" s="57" t="s">
        <v>76</v>
      </c>
      <c r="K32" s="58" t="s">
        <v>79</v>
      </c>
      <c r="L32" s="58" t="s">
        <v>2</v>
      </c>
      <c r="M32" s="58" t="s">
        <v>63</v>
      </c>
      <c r="N32" s="58" t="s">
        <v>70</v>
      </c>
      <c r="O32" s="58" t="s">
        <v>62</v>
      </c>
      <c r="P32" s="58" t="s">
        <v>71</v>
      </c>
      <c r="Q32" s="58" t="s">
        <v>57</v>
      </c>
      <c r="R32" s="58" t="s">
        <v>58</v>
      </c>
      <c r="S32" s="58" t="s">
        <v>59</v>
      </c>
      <c r="T32" s="58" t="s">
        <v>78</v>
      </c>
      <c r="U32" s="58" t="s">
        <v>60</v>
      </c>
      <c r="V32" s="59" t="s">
        <v>67</v>
      </c>
    </row>
    <row r="33" spans="2:22" ht="26.25" customHeight="1" thickTop="1" thickBot="1" x14ac:dyDescent="0.35">
      <c r="B33" s="70"/>
      <c r="C33" s="70"/>
      <c r="D33" s="70"/>
      <c r="E33" s="71" t="s">
        <v>73</v>
      </c>
      <c r="F33" s="70"/>
      <c r="G33" s="70"/>
      <c r="H33" s="70"/>
      <c r="J33" s="140" t="s">
        <v>65</v>
      </c>
      <c r="K33" s="60" t="s">
        <v>53</v>
      </c>
      <c r="L33" s="60" t="s">
        <v>64</v>
      </c>
      <c r="M33" s="60"/>
      <c r="N33" s="60"/>
      <c r="O33" s="60" t="s">
        <v>64</v>
      </c>
      <c r="P33" s="60"/>
      <c r="Q33" s="60"/>
      <c r="R33" s="60"/>
      <c r="S33" s="60"/>
      <c r="T33" s="60" t="s">
        <v>64</v>
      </c>
      <c r="U33" s="60" t="s">
        <v>64</v>
      </c>
      <c r="V33" s="61" t="s">
        <v>64</v>
      </c>
    </row>
    <row r="34" spans="2:22" ht="26.25" customHeight="1" thickBot="1" x14ac:dyDescent="0.35">
      <c r="B34" s="70"/>
      <c r="C34" s="72"/>
      <c r="D34" s="73"/>
      <c r="E34" s="73"/>
      <c r="F34" s="74"/>
      <c r="G34" s="72"/>
      <c r="H34" s="70"/>
      <c r="J34" s="141"/>
      <c r="K34" s="62" t="s">
        <v>54</v>
      </c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3"/>
    </row>
    <row r="35" spans="2:22" ht="26.25" customHeight="1" x14ac:dyDescent="0.3">
      <c r="B35" s="70"/>
      <c r="C35" s="75"/>
      <c r="D35" s="70"/>
      <c r="E35" s="70"/>
      <c r="F35" s="76"/>
      <c r="G35" s="75"/>
      <c r="H35" s="70"/>
      <c r="J35" s="141"/>
      <c r="K35" s="62" t="s">
        <v>55</v>
      </c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3"/>
    </row>
    <row r="36" spans="2:22" ht="26.25" customHeight="1" x14ac:dyDescent="0.3">
      <c r="B36" s="70"/>
      <c r="C36" s="75"/>
      <c r="D36" s="70"/>
      <c r="E36" s="70"/>
      <c r="F36" s="77"/>
      <c r="G36" s="75"/>
      <c r="H36" s="70"/>
      <c r="J36" s="141"/>
      <c r="K36" s="62" t="s">
        <v>56</v>
      </c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3"/>
    </row>
    <row r="37" spans="2:22" ht="26.25" customHeight="1" x14ac:dyDescent="0.3">
      <c r="B37" s="70"/>
      <c r="C37" s="75"/>
      <c r="D37" s="70"/>
      <c r="E37" s="70"/>
      <c r="F37" s="77"/>
      <c r="G37" s="75"/>
      <c r="H37" s="70"/>
      <c r="J37" s="141"/>
      <c r="K37" s="64" t="s">
        <v>77</v>
      </c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5"/>
    </row>
    <row r="38" spans="2:22" ht="26.25" customHeight="1" x14ac:dyDescent="0.3">
      <c r="B38" s="71" t="s">
        <v>75</v>
      </c>
      <c r="C38" s="75"/>
      <c r="D38" s="70"/>
      <c r="E38" s="70"/>
      <c r="F38" s="77"/>
      <c r="G38" s="75"/>
      <c r="H38" s="70"/>
      <c r="J38" s="142" t="s">
        <v>68</v>
      </c>
      <c r="K38" s="66" t="s">
        <v>53</v>
      </c>
      <c r="L38" s="66" t="s">
        <v>64</v>
      </c>
      <c r="M38" s="66" t="s">
        <v>64</v>
      </c>
      <c r="N38" s="66" t="s">
        <v>64</v>
      </c>
      <c r="O38" s="66"/>
      <c r="P38" s="66" t="s">
        <v>64</v>
      </c>
      <c r="Q38" s="66"/>
      <c r="R38" s="66"/>
      <c r="S38" s="66"/>
      <c r="T38" s="66"/>
      <c r="U38" s="66" t="s">
        <v>64</v>
      </c>
      <c r="V38" s="67" t="s">
        <v>64</v>
      </c>
    </row>
    <row r="39" spans="2:22" ht="26.25" customHeight="1" x14ac:dyDescent="0.3">
      <c r="B39" s="71"/>
      <c r="C39" s="75"/>
      <c r="D39" s="70"/>
      <c r="E39" s="70"/>
      <c r="F39" s="77"/>
      <c r="G39" s="75"/>
      <c r="H39" s="70"/>
      <c r="J39" s="142"/>
      <c r="K39" s="62" t="s">
        <v>54</v>
      </c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3"/>
    </row>
    <row r="40" spans="2:22" ht="26.25" customHeight="1" thickBot="1" x14ac:dyDescent="0.35">
      <c r="B40" s="70"/>
      <c r="C40" s="75"/>
      <c r="D40" s="70"/>
      <c r="E40" s="70"/>
      <c r="F40" s="77"/>
      <c r="G40" s="75"/>
      <c r="H40" s="70"/>
      <c r="J40" s="142"/>
      <c r="K40" s="62" t="s">
        <v>55</v>
      </c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3"/>
    </row>
    <row r="41" spans="2:22" ht="26.25" customHeight="1" thickBot="1" x14ac:dyDescent="0.35">
      <c r="B41" s="70"/>
      <c r="C41" s="78"/>
      <c r="D41" s="73"/>
      <c r="E41" s="73"/>
      <c r="F41" s="74"/>
      <c r="G41" s="78"/>
      <c r="H41" s="70"/>
      <c r="J41" s="142"/>
      <c r="K41" s="62" t="s">
        <v>56</v>
      </c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3"/>
    </row>
    <row r="42" spans="2:22" ht="26.25" customHeight="1" thickBot="1" x14ac:dyDescent="0.35">
      <c r="B42" s="70"/>
      <c r="C42" s="70"/>
      <c r="D42" s="70"/>
      <c r="E42" s="70"/>
      <c r="F42" s="70"/>
      <c r="G42" s="70"/>
      <c r="H42" s="70"/>
      <c r="J42" s="143"/>
      <c r="K42" s="68" t="s">
        <v>77</v>
      </c>
      <c r="L42" s="68" t="s">
        <v>64</v>
      </c>
      <c r="M42" s="68"/>
      <c r="N42" s="68"/>
      <c r="O42" s="68"/>
      <c r="P42" s="68"/>
      <c r="Q42" s="68"/>
      <c r="R42" s="68"/>
      <c r="S42" s="68"/>
      <c r="T42" s="68"/>
      <c r="U42" s="68" t="s">
        <v>64</v>
      </c>
      <c r="V42" s="69"/>
    </row>
    <row r="43" spans="2:22" ht="26.25" customHeight="1" x14ac:dyDescent="0.3">
      <c r="B43" s="70"/>
      <c r="C43" s="70"/>
      <c r="D43" s="70"/>
      <c r="E43" s="70"/>
      <c r="F43" s="70"/>
      <c r="G43" s="70"/>
      <c r="H43" s="70"/>
    </row>
    <row r="44" spans="2:22" ht="26.25" customHeight="1" thickBot="1" x14ac:dyDescent="0.35">
      <c r="B44" s="70"/>
      <c r="C44" s="70"/>
      <c r="D44" s="70"/>
      <c r="E44" s="70"/>
      <c r="F44" s="70"/>
      <c r="G44" s="70"/>
      <c r="H44" s="70"/>
    </row>
    <row r="45" spans="2:22" ht="26.25" customHeight="1" thickBot="1" x14ac:dyDescent="0.35">
      <c r="B45" s="70"/>
      <c r="C45" s="70"/>
      <c r="D45" s="70"/>
      <c r="E45" s="70"/>
      <c r="F45" s="70"/>
      <c r="G45" s="70"/>
      <c r="H45" s="70"/>
      <c r="J45" s="57" t="s">
        <v>76</v>
      </c>
      <c r="K45" s="58" t="s">
        <v>79</v>
      </c>
      <c r="L45" s="58" t="s">
        <v>2</v>
      </c>
      <c r="M45" s="58" t="s">
        <v>63</v>
      </c>
      <c r="N45" s="58" t="s">
        <v>70</v>
      </c>
      <c r="O45" s="58" t="s">
        <v>62</v>
      </c>
      <c r="P45" s="58" t="s">
        <v>71</v>
      </c>
      <c r="Q45" s="58" t="s">
        <v>57</v>
      </c>
      <c r="R45" s="58" t="s">
        <v>58</v>
      </c>
      <c r="S45" s="58" t="s">
        <v>59</v>
      </c>
      <c r="T45" s="58" t="s">
        <v>78</v>
      </c>
      <c r="U45" s="58" t="s">
        <v>60</v>
      </c>
      <c r="V45" s="59" t="s">
        <v>67</v>
      </c>
    </row>
    <row r="46" spans="2:22" ht="26.25" customHeight="1" thickTop="1" thickBot="1" x14ac:dyDescent="0.35">
      <c r="B46" s="70"/>
      <c r="C46" s="70"/>
      <c r="D46" s="70"/>
      <c r="E46" s="71" t="s">
        <v>72</v>
      </c>
      <c r="F46" s="70"/>
      <c r="G46" s="70"/>
      <c r="H46" s="70"/>
      <c r="J46" s="140" t="s">
        <v>66</v>
      </c>
      <c r="K46" s="60" t="s">
        <v>53</v>
      </c>
      <c r="L46" s="60" t="s">
        <v>64</v>
      </c>
      <c r="M46" s="60" t="s">
        <v>64</v>
      </c>
      <c r="N46" s="60"/>
      <c r="O46" s="60"/>
      <c r="P46" s="60"/>
      <c r="Q46" s="60"/>
      <c r="R46" s="60"/>
      <c r="S46" s="60"/>
      <c r="T46" s="60" t="s">
        <v>64</v>
      </c>
      <c r="U46" s="60" t="s">
        <v>64</v>
      </c>
      <c r="V46" s="61" t="s">
        <v>64</v>
      </c>
    </row>
    <row r="47" spans="2:22" ht="26.25" customHeight="1" thickBot="1" x14ac:dyDescent="0.35">
      <c r="B47" s="70"/>
      <c r="C47" s="79"/>
      <c r="D47" s="73"/>
      <c r="E47" s="73"/>
      <c r="F47" s="73"/>
      <c r="G47" s="74"/>
      <c r="H47" s="70"/>
      <c r="J47" s="141"/>
      <c r="K47" s="62" t="s">
        <v>54</v>
      </c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3"/>
    </row>
    <row r="48" spans="2:22" ht="26.25" customHeight="1" x14ac:dyDescent="0.3">
      <c r="B48" s="70"/>
      <c r="C48" s="75"/>
      <c r="D48" s="70"/>
      <c r="E48" s="70"/>
      <c r="F48" s="77"/>
      <c r="G48" s="75"/>
      <c r="H48" s="70"/>
      <c r="J48" s="141"/>
      <c r="K48" s="62" t="s">
        <v>55</v>
      </c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3"/>
    </row>
    <row r="49" spans="2:22" ht="26.25" customHeight="1" x14ac:dyDescent="0.3">
      <c r="B49" s="70"/>
      <c r="C49" s="75"/>
      <c r="D49" s="70"/>
      <c r="E49" s="70"/>
      <c r="F49" s="77"/>
      <c r="G49" s="75"/>
      <c r="H49" s="70"/>
      <c r="J49" s="141"/>
      <c r="K49" s="62" t="s">
        <v>56</v>
      </c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3"/>
    </row>
    <row r="50" spans="2:22" ht="26.25" customHeight="1" x14ac:dyDescent="0.3">
      <c r="B50" s="70"/>
      <c r="C50" s="75"/>
      <c r="D50" s="70"/>
      <c r="E50" s="70"/>
      <c r="F50" s="77"/>
      <c r="G50" s="75"/>
      <c r="H50" s="70"/>
      <c r="J50" s="141"/>
      <c r="K50" s="64" t="s">
        <v>77</v>
      </c>
      <c r="L50" s="64" t="s">
        <v>64</v>
      </c>
      <c r="M50" s="64"/>
      <c r="N50" s="64"/>
      <c r="O50" s="64"/>
      <c r="P50" s="64"/>
      <c r="Q50" s="64"/>
      <c r="R50" s="64"/>
      <c r="S50" s="64"/>
      <c r="T50" s="64" t="s">
        <v>64</v>
      </c>
      <c r="U50" s="64"/>
      <c r="V50" s="65"/>
    </row>
    <row r="51" spans="2:22" ht="26.25" customHeight="1" x14ac:dyDescent="0.3">
      <c r="B51" s="71" t="s">
        <v>74</v>
      </c>
      <c r="C51" s="75"/>
      <c r="D51" s="70"/>
      <c r="E51" s="70"/>
      <c r="F51" s="77"/>
      <c r="G51" s="75"/>
      <c r="H51" s="70"/>
      <c r="J51" s="142" t="s">
        <v>69</v>
      </c>
      <c r="K51" s="66" t="s">
        <v>53</v>
      </c>
      <c r="L51" s="66" t="s">
        <v>64</v>
      </c>
      <c r="M51" s="66"/>
      <c r="N51" s="66"/>
      <c r="O51" s="66" t="s">
        <v>64</v>
      </c>
      <c r="P51" s="66" t="s">
        <v>64</v>
      </c>
      <c r="Q51" s="66"/>
      <c r="R51" s="66"/>
      <c r="S51" s="66"/>
      <c r="T51" s="66"/>
      <c r="U51" s="66" t="s">
        <v>64</v>
      </c>
      <c r="V51" s="67" t="s">
        <v>64</v>
      </c>
    </row>
    <row r="52" spans="2:22" ht="26.25" customHeight="1" x14ac:dyDescent="0.3">
      <c r="B52" s="71"/>
      <c r="C52" s="75"/>
      <c r="D52" s="70"/>
      <c r="E52" s="70"/>
      <c r="F52" s="77"/>
      <c r="G52" s="75"/>
      <c r="H52" s="70"/>
      <c r="J52" s="142"/>
      <c r="K52" s="62" t="s">
        <v>54</v>
      </c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3"/>
    </row>
    <row r="53" spans="2:22" ht="26.25" customHeight="1" thickBot="1" x14ac:dyDescent="0.35">
      <c r="B53" s="70"/>
      <c r="C53" s="78"/>
      <c r="D53" s="70"/>
      <c r="E53" s="70"/>
      <c r="F53" s="80"/>
      <c r="G53" s="78"/>
      <c r="H53" s="70"/>
      <c r="J53" s="142"/>
      <c r="K53" s="62" t="s">
        <v>55</v>
      </c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3"/>
    </row>
    <row r="54" spans="2:22" ht="26.25" customHeight="1" thickBot="1" x14ac:dyDescent="0.35">
      <c r="B54" s="70"/>
      <c r="C54" s="79"/>
      <c r="D54" s="73"/>
      <c r="E54" s="73"/>
      <c r="F54" s="73"/>
      <c r="G54" s="74"/>
      <c r="H54" s="70"/>
      <c r="J54" s="142"/>
      <c r="K54" s="62" t="s">
        <v>56</v>
      </c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3"/>
    </row>
    <row r="55" spans="2:22" ht="26.25" customHeight="1" thickBot="1" x14ac:dyDescent="0.35">
      <c r="B55" s="70"/>
      <c r="C55" s="70"/>
      <c r="D55" s="70"/>
      <c r="E55" s="70"/>
      <c r="F55" s="70"/>
      <c r="G55" s="70"/>
      <c r="H55" s="70"/>
      <c r="J55" s="143"/>
      <c r="K55" s="68" t="s">
        <v>77</v>
      </c>
      <c r="L55" s="68" t="s">
        <v>64</v>
      </c>
      <c r="M55" s="68"/>
      <c r="N55" s="68"/>
      <c r="O55" s="68"/>
      <c r="P55" s="68"/>
      <c r="Q55" s="68"/>
      <c r="R55" s="68"/>
      <c r="S55" s="68"/>
      <c r="T55" s="68"/>
      <c r="U55" s="68"/>
      <c r="V55" s="69"/>
    </row>
  </sheetData>
  <mergeCells count="9">
    <mergeCell ref="J46:J50"/>
    <mergeCell ref="J51:J55"/>
    <mergeCell ref="A1:V1"/>
    <mergeCell ref="J5:J9"/>
    <mergeCell ref="J10:J14"/>
    <mergeCell ref="J18:J22"/>
    <mergeCell ref="J23:J27"/>
    <mergeCell ref="J33:J37"/>
    <mergeCell ref="J38:J42"/>
  </mergeCells>
  <phoneticPr fontId="1" type="noConversion"/>
  <pageMargins left="0.7" right="0.7" top="0.75" bottom="0.75" header="0.3" footer="0.3"/>
  <pageSetup paperSize="9" scale="37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5CFD3-D5CF-456B-BBCF-87C62801A95D}">
  <sheetPr>
    <pageSetUpPr fitToPage="1"/>
  </sheetPr>
  <dimension ref="A1:AG26"/>
  <sheetViews>
    <sheetView showGridLines="0" zoomScale="80" zoomScaleNormal="80" workbookViewId="0">
      <selection activeCell="Y16" sqref="Y16"/>
    </sheetView>
  </sheetViews>
  <sheetFormatPr defaultRowHeight="16.5" x14ac:dyDescent="0.3"/>
  <cols>
    <col min="1" max="12" width="3.5" customWidth="1"/>
    <col min="13" max="13" width="4.75" customWidth="1"/>
    <col min="14" max="14" width="3.5" style="1" customWidth="1"/>
    <col min="15" max="15" width="13.625" style="1" customWidth="1"/>
    <col min="16" max="16" width="3.5" style="1" customWidth="1"/>
    <col min="17" max="17" width="13.625" style="1" customWidth="1"/>
    <col min="18" max="18" width="3.5" style="1" customWidth="1"/>
    <col min="19" max="19" width="13.625" style="1" customWidth="1"/>
    <col min="20" max="20" width="3.5" style="1" customWidth="1"/>
    <col min="21" max="21" width="13.625" style="1" customWidth="1"/>
    <col min="22" max="22" width="3.5" style="1" customWidth="1"/>
    <col min="23" max="23" width="13.625" style="1" customWidth="1"/>
    <col min="24" max="24" width="3.5" style="1" customWidth="1"/>
    <col min="25" max="25" width="13.625" style="1" customWidth="1"/>
    <col min="26" max="26" width="3.5" style="1" customWidth="1"/>
    <col min="27" max="27" width="13.625" style="1" customWidth="1"/>
    <col min="28" max="28" width="3.5" style="1" customWidth="1"/>
    <col min="29" max="29" width="13.625" style="1" customWidth="1"/>
    <col min="30" max="30" width="3.5" style="1" customWidth="1"/>
    <col min="31" max="31" width="13.625" style="1" customWidth="1"/>
    <col min="32" max="32" width="3.5" style="1" customWidth="1"/>
    <col min="33" max="33" width="13.625" style="1" customWidth="1"/>
    <col min="34" max="34" width="3.5" customWidth="1"/>
    <col min="35" max="35" width="5.25" bestFit="1" customWidth="1"/>
  </cols>
  <sheetData>
    <row r="1" spans="1:33" ht="28.5" customHeight="1" x14ac:dyDescent="0.3">
      <c r="A1" s="144" t="s">
        <v>98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  <c r="AC1" s="144"/>
      <c r="AD1" s="144"/>
      <c r="AE1" s="144"/>
      <c r="AF1" s="144"/>
      <c r="AG1" s="144"/>
    </row>
    <row r="2" spans="1:33" ht="25.5" customHeight="1" x14ac:dyDescent="0.3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</row>
    <row r="3" spans="1:33" ht="25.5" customHeight="1" thickBot="1" x14ac:dyDescent="0.35"/>
    <row r="4" spans="1:33" ht="25.5" customHeight="1" thickBot="1" x14ac:dyDescent="0.35">
      <c r="C4" s="51"/>
      <c r="D4" s="51"/>
      <c r="E4" s="51"/>
      <c r="F4" t="s">
        <v>5</v>
      </c>
      <c r="G4" s="51"/>
      <c r="H4" s="51"/>
      <c r="I4" s="51"/>
      <c r="O4" s="18" t="s">
        <v>2</v>
      </c>
      <c r="Q4" s="18" t="s">
        <v>93</v>
      </c>
      <c r="S4" s="18" t="s">
        <v>7</v>
      </c>
      <c r="U4" s="18" t="s">
        <v>83</v>
      </c>
      <c r="W4" s="18" t="s">
        <v>94</v>
      </c>
      <c r="Y4" s="18" t="s">
        <v>12</v>
      </c>
      <c r="Z4"/>
      <c r="AA4"/>
      <c r="AB4"/>
      <c r="AC4"/>
      <c r="AD4"/>
      <c r="AE4"/>
      <c r="AF4"/>
      <c r="AG4"/>
    </row>
    <row r="5" spans="1:33" ht="25.5" customHeight="1" thickBot="1" x14ac:dyDescent="0.35">
      <c r="C5" s="47"/>
      <c r="D5" s="48"/>
      <c r="E5" s="48"/>
      <c r="F5" s="48"/>
      <c r="G5" s="48"/>
      <c r="H5" s="48"/>
      <c r="I5" s="43"/>
      <c r="Z5"/>
      <c r="AA5"/>
      <c r="AB5"/>
      <c r="AC5"/>
      <c r="AD5"/>
      <c r="AE5"/>
      <c r="AF5"/>
      <c r="AG5"/>
    </row>
    <row r="6" spans="1:33" ht="25.5" customHeight="1" x14ac:dyDescent="0.3">
      <c r="C6" s="49"/>
      <c r="I6" s="44"/>
      <c r="M6" s="127" t="s">
        <v>0</v>
      </c>
      <c r="O6" s="12" t="s">
        <v>2</v>
      </c>
      <c r="Q6" s="12" t="s">
        <v>93</v>
      </c>
      <c r="S6" s="12" t="s">
        <v>7</v>
      </c>
      <c r="U6" s="12" t="s">
        <v>83</v>
      </c>
      <c r="W6" s="12" t="s">
        <v>94</v>
      </c>
      <c r="Y6" s="12" t="s">
        <v>12</v>
      </c>
      <c r="Z6"/>
      <c r="AA6"/>
      <c r="AB6"/>
      <c r="AC6"/>
      <c r="AD6"/>
      <c r="AE6"/>
      <c r="AF6"/>
      <c r="AG6"/>
    </row>
    <row r="7" spans="1:33" ht="25.5" customHeight="1" x14ac:dyDescent="0.3">
      <c r="C7" s="49"/>
      <c r="I7" s="44"/>
      <c r="M7" s="128"/>
      <c r="O7" s="13" t="s">
        <v>90</v>
      </c>
      <c r="Q7" s="13" t="s">
        <v>90</v>
      </c>
      <c r="S7" s="13" t="s">
        <v>90</v>
      </c>
      <c r="U7" s="13" t="s">
        <v>90</v>
      </c>
      <c r="W7" s="13"/>
      <c r="Y7" s="13" t="s">
        <v>90</v>
      </c>
      <c r="Z7"/>
      <c r="AA7"/>
      <c r="AB7"/>
      <c r="AC7"/>
      <c r="AD7"/>
      <c r="AE7"/>
      <c r="AF7"/>
      <c r="AG7"/>
    </row>
    <row r="8" spans="1:33" ht="25.5" customHeight="1" thickBot="1" x14ac:dyDescent="0.35">
      <c r="B8" t="s">
        <v>3</v>
      </c>
      <c r="C8" s="49"/>
      <c r="I8" s="44"/>
      <c r="J8" t="s">
        <v>4</v>
      </c>
      <c r="M8" s="129"/>
      <c r="O8" s="14" t="s">
        <v>91</v>
      </c>
      <c r="Q8" s="14" t="s">
        <v>91</v>
      </c>
      <c r="S8" s="14" t="s">
        <v>91</v>
      </c>
      <c r="U8" s="14" t="s">
        <v>91</v>
      </c>
      <c r="W8" s="14"/>
      <c r="Y8" s="14" t="s">
        <v>91</v>
      </c>
      <c r="Z8"/>
      <c r="AA8"/>
      <c r="AB8"/>
      <c r="AC8"/>
      <c r="AD8"/>
      <c r="AE8"/>
      <c r="AF8"/>
      <c r="AG8"/>
    </row>
    <row r="9" spans="1:33" ht="25.5" customHeight="1" thickBot="1" x14ac:dyDescent="0.35">
      <c r="C9" s="49"/>
      <c r="I9" s="44"/>
      <c r="M9" s="1"/>
      <c r="Z9"/>
      <c r="AA9"/>
      <c r="AB9"/>
      <c r="AC9"/>
      <c r="AD9"/>
      <c r="AE9"/>
      <c r="AF9"/>
      <c r="AG9"/>
    </row>
    <row r="10" spans="1:33" ht="25.5" customHeight="1" thickBot="1" x14ac:dyDescent="0.35">
      <c r="C10" s="50"/>
      <c r="D10" s="51"/>
      <c r="E10" s="51"/>
      <c r="F10" s="51"/>
      <c r="G10" s="51"/>
      <c r="H10" s="51"/>
      <c r="I10" s="45"/>
      <c r="M10" s="134" t="s">
        <v>1</v>
      </c>
      <c r="O10" s="15" t="s">
        <v>2</v>
      </c>
      <c r="Q10" s="15" t="s">
        <v>93</v>
      </c>
      <c r="S10" s="15" t="s">
        <v>7</v>
      </c>
      <c r="U10" s="15" t="s">
        <v>83</v>
      </c>
      <c r="W10" s="15" t="s">
        <v>94</v>
      </c>
      <c r="Y10" s="15" t="s">
        <v>12</v>
      </c>
      <c r="Z10"/>
      <c r="AA10"/>
      <c r="AB10"/>
      <c r="AC10"/>
      <c r="AD10"/>
      <c r="AE10"/>
      <c r="AF10"/>
      <c r="AG10"/>
    </row>
    <row r="11" spans="1:33" ht="25.5" customHeight="1" x14ac:dyDescent="0.3">
      <c r="F11" t="s">
        <v>6</v>
      </c>
      <c r="M11" s="135"/>
      <c r="O11" s="16" t="s">
        <v>88</v>
      </c>
      <c r="Q11" s="16" t="s">
        <v>88</v>
      </c>
      <c r="S11" s="16"/>
      <c r="U11" s="16" t="s">
        <v>88</v>
      </c>
      <c r="W11" s="16"/>
      <c r="Y11" s="16" t="s">
        <v>88</v>
      </c>
      <c r="Z11"/>
      <c r="AA11"/>
      <c r="AB11"/>
      <c r="AC11"/>
      <c r="AD11"/>
      <c r="AE11"/>
      <c r="AF11"/>
      <c r="AG11"/>
    </row>
    <row r="12" spans="1:33" ht="25.5" customHeight="1" thickBot="1" x14ac:dyDescent="0.35">
      <c r="C12" s="145" t="s">
        <v>80</v>
      </c>
      <c r="D12" s="146"/>
      <c r="E12" s="146"/>
      <c r="F12" s="146"/>
      <c r="G12" s="146"/>
      <c r="H12" s="146"/>
      <c r="I12" s="147"/>
      <c r="M12" s="136"/>
      <c r="O12" s="17" t="s">
        <v>89</v>
      </c>
      <c r="Q12" s="17" t="s">
        <v>89</v>
      </c>
      <c r="S12" s="17"/>
      <c r="U12" s="17" t="s">
        <v>89</v>
      </c>
      <c r="W12" s="17" t="s">
        <v>89</v>
      </c>
      <c r="Y12" s="17" t="s">
        <v>89</v>
      </c>
      <c r="Z12"/>
      <c r="AA12"/>
      <c r="AB12"/>
      <c r="AC12"/>
      <c r="AD12"/>
      <c r="AE12"/>
      <c r="AF12"/>
      <c r="AG12"/>
    </row>
    <row r="13" spans="1:33" ht="25.5" customHeight="1" x14ac:dyDescent="0.3"/>
    <row r="14" spans="1:33" ht="25.5" customHeight="1" x14ac:dyDescent="0.3"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</row>
    <row r="15" spans="1:33" ht="25.5" customHeight="1" thickBot="1" x14ac:dyDescent="0.35"/>
    <row r="16" spans="1:33" ht="25.5" customHeight="1" thickBot="1" x14ac:dyDescent="0.35">
      <c r="C16" s="51"/>
      <c r="D16" s="51"/>
      <c r="E16" s="51"/>
      <c r="F16" t="s">
        <v>5</v>
      </c>
      <c r="G16" s="51"/>
      <c r="H16" s="51"/>
      <c r="I16" s="51"/>
      <c r="O16" s="18" t="s">
        <v>2</v>
      </c>
      <c r="Q16" s="18" t="s">
        <v>92</v>
      </c>
      <c r="S16" s="18" t="s">
        <v>82</v>
      </c>
      <c r="U16" s="18" t="s">
        <v>83</v>
      </c>
      <c r="W16" s="18" t="s">
        <v>105</v>
      </c>
      <c r="Y16" s="18" t="s">
        <v>85</v>
      </c>
      <c r="AA16" s="18" t="s">
        <v>86</v>
      </c>
      <c r="AC16" s="18" t="s">
        <v>87</v>
      </c>
      <c r="AE16" s="18" t="s">
        <v>12</v>
      </c>
      <c r="AF16"/>
      <c r="AG16"/>
    </row>
    <row r="17" spans="2:33" ht="25.5" customHeight="1" thickBot="1" x14ac:dyDescent="0.35">
      <c r="C17" s="47"/>
      <c r="D17" s="48"/>
      <c r="E17" s="48"/>
      <c r="F17" s="48"/>
      <c r="G17" s="48"/>
      <c r="H17" s="48"/>
      <c r="I17" s="43"/>
      <c r="AF17"/>
      <c r="AG17"/>
    </row>
    <row r="18" spans="2:33" ht="25.5" customHeight="1" x14ac:dyDescent="0.3">
      <c r="C18" s="49"/>
      <c r="I18" s="44"/>
      <c r="M18" s="127" t="s">
        <v>0</v>
      </c>
      <c r="O18" s="12" t="s">
        <v>2</v>
      </c>
      <c r="Q18" s="12" t="s">
        <v>92</v>
      </c>
      <c r="S18" s="12" t="s">
        <v>82</v>
      </c>
      <c r="U18" s="12" t="s">
        <v>83</v>
      </c>
      <c r="Y18" s="12" t="s">
        <v>85</v>
      </c>
      <c r="AA18" s="12" t="s">
        <v>86</v>
      </c>
      <c r="AC18" s="12" t="s">
        <v>87</v>
      </c>
      <c r="AE18" s="12" t="s">
        <v>12</v>
      </c>
      <c r="AF18"/>
      <c r="AG18"/>
    </row>
    <row r="19" spans="2:33" ht="25.5" customHeight="1" x14ac:dyDescent="0.3">
      <c r="C19" s="49"/>
      <c r="I19" s="44"/>
      <c r="M19" s="128"/>
      <c r="O19" s="13" t="s">
        <v>3</v>
      </c>
      <c r="Q19" s="13" t="s">
        <v>3</v>
      </c>
      <c r="S19" s="13" t="s">
        <v>3</v>
      </c>
      <c r="U19" s="13" t="s">
        <v>3</v>
      </c>
      <c r="Y19" s="13" t="s">
        <v>3</v>
      </c>
      <c r="AA19" s="13" t="s">
        <v>3</v>
      </c>
      <c r="AC19" s="13" t="s">
        <v>3</v>
      </c>
      <c r="AE19" s="13" t="s">
        <v>3</v>
      </c>
      <c r="AF19"/>
      <c r="AG19"/>
    </row>
    <row r="20" spans="2:33" ht="25.5" customHeight="1" thickBot="1" x14ac:dyDescent="0.35">
      <c r="B20" t="s">
        <v>3</v>
      </c>
      <c r="C20" s="49"/>
      <c r="I20" s="44"/>
      <c r="J20" t="s">
        <v>4</v>
      </c>
      <c r="M20" s="129"/>
      <c r="O20" s="14" t="s">
        <v>4</v>
      </c>
      <c r="Q20" s="14" t="s">
        <v>4</v>
      </c>
      <c r="S20" s="14" t="s">
        <v>4</v>
      </c>
      <c r="U20" s="14" t="s">
        <v>4</v>
      </c>
      <c r="Y20" s="14" t="s">
        <v>4</v>
      </c>
      <c r="AA20" s="14" t="s">
        <v>4</v>
      </c>
      <c r="AC20" s="14" t="s">
        <v>4</v>
      </c>
      <c r="AE20" s="14" t="s">
        <v>4</v>
      </c>
      <c r="AF20"/>
      <c r="AG20"/>
    </row>
    <row r="21" spans="2:33" ht="25.5" customHeight="1" thickBot="1" x14ac:dyDescent="0.35">
      <c r="C21" s="49"/>
      <c r="I21" s="44"/>
      <c r="M21" s="1"/>
      <c r="AF21"/>
      <c r="AG21"/>
    </row>
    <row r="22" spans="2:33" ht="25.5" customHeight="1" thickBot="1" x14ac:dyDescent="0.35">
      <c r="C22" s="50"/>
      <c r="D22" s="51"/>
      <c r="E22" s="51"/>
      <c r="F22" s="51"/>
      <c r="G22" s="51"/>
      <c r="H22" s="51"/>
      <c r="I22" s="45"/>
      <c r="M22" s="134" t="s">
        <v>1</v>
      </c>
      <c r="O22" s="15" t="s">
        <v>2</v>
      </c>
      <c r="Q22" s="15" t="s">
        <v>81</v>
      </c>
      <c r="U22" s="15" t="s">
        <v>83</v>
      </c>
      <c r="W22" s="15" t="s">
        <v>84</v>
      </c>
      <c r="AE22" s="15" t="s">
        <v>12</v>
      </c>
      <c r="AF22"/>
      <c r="AG22"/>
    </row>
    <row r="23" spans="2:33" ht="25.5" customHeight="1" x14ac:dyDescent="0.3">
      <c r="F23" t="s">
        <v>6</v>
      </c>
      <c r="M23" s="135"/>
      <c r="O23" s="16" t="s">
        <v>5</v>
      </c>
      <c r="Q23" s="16" t="s">
        <v>5</v>
      </c>
      <c r="U23" s="16" t="s">
        <v>5</v>
      </c>
      <c r="W23" s="16"/>
      <c r="AE23" s="16" t="s">
        <v>5</v>
      </c>
      <c r="AF23"/>
      <c r="AG23"/>
    </row>
    <row r="24" spans="2:33" ht="25.5" customHeight="1" thickBot="1" x14ac:dyDescent="0.35">
      <c r="C24" s="145" t="s">
        <v>26</v>
      </c>
      <c r="D24" s="146"/>
      <c r="E24" s="146"/>
      <c r="F24" s="146"/>
      <c r="G24" s="146"/>
      <c r="H24" s="146"/>
      <c r="I24" s="147"/>
      <c r="M24" s="136"/>
      <c r="O24" s="17" t="s">
        <v>6</v>
      </c>
      <c r="Q24" s="17" t="s">
        <v>6</v>
      </c>
      <c r="U24" s="17" t="s">
        <v>6</v>
      </c>
      <c r="W24" s="17" t="s">
        <v>6</v>
      </c>
      <c r="AE24" s="17" t="s">
        <v>6</v>
      </c>
      <c r="AF24"/>
      <c r="AG24"/>
    </row>
    <row r="25" spans="2:33" ht="19.5" customHeight="1" x14ac:dyDescent="0.3"/>
    <row r="26" spans="2:33" ht="20.25" customHeight="1" x14ac:dyDescent="0.3"/>
  </sheetData>
  <mergeCells count="7">
    <mergeCell ref="M10:M12"/>
    <mergeCell ref="C12:I12"/>
    <mergeCell ref="A1:AG1"/>
    <mergeCell ref="M22:M24"/>
    <mergeCell ref="M18:M20"/>
    <mergeCell ref="C24:I24"/>
    <mergeCell ref="M6:M8"/>
  </mergeCells>
  <phoneticPr fontId="1" type="noConversion"/>
  <pageMargins left="0.7" right="0.7" top="0.75" bottom="0.75" header="0.3" footer="0.3"/>
  <pageSetup paperSize="9" scale="55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FDB30-1C33-4144-90EF-0AFC63A858F6}">
  <sheetPr>
    <pageSetUpPr fitToPage="1"/>
  </sheetPr>
  <dimension ref="A1:AK26"/>
  <sheetViews>
    <sheetView zoomScale="80" zoomScaleNormal="80" workbookViewId="0">
      <selection activeCell="Y16" sqref="Y16"/>
    </sheetView>
  </sheetViews>
  <sheetFormatPr defaultRowHeight="16.5" x14ac:dyDescent="0.3"/>
  <cols>
    <col min="1" max="12" width="3.5" customWidth="1"/>
    <col min="13" max="13" width="4.75" customWidth="1"/>
    <col min="14" max="14" width="3.5" style="1" customWidth="1"/>
    <col min="15" max="15" width="13.625" style="1" customWidth="1"/>
    <col min="16" max="16" width="3.5" style="1" customWidth="1"/>
    <col min="17" max="17" width="13.625" style="1" customWidth="1"/>
    <col min="18" max="18" width="3.5" style="1" customWidth="1"/>
    <col min="19" max="19" width="13.625" style="1" customWidth="1"/>
    <col min="20" max="20" width="3.5" style="1" customWidth="1"/>
    <col min="21" max="21" width="13.625" style="1" customWidth="1"/>
    <col min="22" max="22" width="3.5" style="1" customWidth="1"/>
    <col min="23" max="23" width="13.625" style="1" customWidth="1"/>
    <col min="24" max="24" width="3.5" style="1" customWidth="1"/>
    <col min="25" max="25" width="13.625" style="1" customWidth="1"/>
    <col min="26" max="26" width="3.5" style="1" customWidth="1"/>
    <col min="27" max="27" width="13.625" style="1" customWidth="1"/>
    <col min="28" max="28" width="3.5" style="1" customWidth="1"/>
    <col min="29" max="29" width="13.625" style="1" customWidth="1"/>
    <col min="30" max="30" width="3.5" style="1" customWidth="1"/>
    <col min="31" max="31" width="13.625" style="1" customWidth="1"/>
    <col min="32" max="32" width="3.5" style="1" customWidth="1"/>
    <col min="33" max="33" width="13.625" style="1" customWidth="1"/>
    <col min="34" max="34" width="3.5" style="1" customWidth="1"/>
    <col min="35" max="35" width="13.625" style="1" customWidth="1"/>
    <col min="36" max="36" width="3.5" style="1" customWidth="1"/>
  </cols>
  <sheetData>
    <row r="1" spans="1:37" ht="28.5" customHeight="1" x14ac:dyDescent="0.3">
      <c r="A1" s="144" t="s">
        <v>99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  <c r="AC1" s="144"/>
      <c r="AD1" s="144"/>
      <c r="AE1" s="144"/>
      <c r="AF1" s="144"/>
      <c r="AG1" s="144"/>
      <c r="AH1" s="144"/>
      <c r="AI1" s="144"/>
      <c r="AJ1"/>
    </row>
    <row r="2" spans="1:37" ht="25.5" customHeight="1" x14ac:dyDescent="0.3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</row>
    <row r="3" spans="1:37" ht="25.5" customHeight="1" thickBot="1" x14ac:dyDescent="0.35"/>
    <row r="4" spans="1:37" ht="25.5" customHeight="1" thickBot="1" x14ac:dyDescent="0.35">
      <c r="C4" s="51"/>
      <c r="D4" s="51"/>
      <c r="E4" s="51"/>
      <c r="F4" t="s">
        <v>5</v>
      </c>
      <c r="G4" s="51"/>
      <c r="H4" s="51"/>
      <c r="I4" s="51"/>
      <c r="O4" s="18" t="s">
        <v>2</v>
      </c>
      <c r="Q4" s="18" t="s">
        <v>93</v>
      </c>
      <c r="S4" s="18" t="s">
        <v>7</v>
      </c>
      <c r="U4" s="18" t="s">
        <v>83</v>
      </c>
      <c r="W4" s="18" t="s">
        <v>97</v>
      </c>
      <c r="Y4" s="18" t="s">
        <v>12</v>
      </c>
      <c r="Z4"/>
      <c r="AA4"/>
      <c r="AB4"/>
      <c r="AC4"/>
      <c r="AD4"/>
      <c r="AE4"/>
      <c r="AF4"/>
      <c r="AG4"/>
      <c r="AH4"/>
      <c r="AI4"/>
      <c r="AJ4"/>
    </row>
    <row r="5" spans="1:37" ht="25.5" customHeight="1" thickBot="1" x14ac:dyDescent="0.35">
      <c r="C5" s="47"/>
      <c r="D5" s="48"/>
      <c r="E5" s="48"/>
      <c r="F5" s="48"/>
      <c r="G5" s="48"/>
      <c r="H5" s="48"/>
      <c r="I5" s="43"/>
      <c r="Z5"/>
      <c r="AA5"/>
      <c r="AB5"/>
      <c r="AC5"/>
      <c r="AD5"/>
      <c r="AE5"/>
      <c r="AF5"/>
      <c r="AG5"/>
      <c r="AH5"/>
      <c r="AI5"/>
      <c r="AJ5"/>
    </row>
    <row r="6" spans="1:37" ht="25.5" customHeight="1" x14ac:dyDescent="0.3">
      <c r="C6" s="49"/>
      <c r="I6" s="44"/>
      <c r="M6" s="127" t="s">
        <v>0</v>
      </c>
      <c r="O6" s="12" t="s">
        <v>2</v>
      </c>
      <c r="Q6" s="12" t="s">
        <v>93</v>
      </c>
      <c r="S6" s="12" t="s">
        <v>7</v>
      </c>
      <c r="U6" s="12" t="s">
        <v>83</v>
      </c>
      <c r="W6" s="12" t="s">
        <v>97</v>
      </c>
      <c r="Y6" s="12" t="s">
        <v>12</v>
      </c>
      <c r="Z6"/>
      <c r="AA6"/>
      <c r="AB6"/>
      <c r="AC6"/>
      <c r="AD6"/>
      <c r="AE6"/>
      <c r="AF6"/>
      <c r="AG6"/>
      <c r="AH6"/>
      <c r="AI6"/>
      <c r="AJ6"/>
    </row>
    <row r="7" spans="1:37" ht="25.5" customHeight="1" x14ac:dyDescent="0.3">
      <c r="C7" s="49"/>
      <c r="I7" s="44"/>
      <c r="M7" s="128"/>
      <c r="O7" s="13" t="s">
        <v>90</v>
      </c>
      <c r="Q7" s="13" t="s">
        <v>90</v>
      </c>
      <c r="S7" s="13" t="s">
        <v>90</v>
      </c>
      <c r="U7" s="13" t="s">
        <v>90</v>
      </c>
      <c r="W7" s="13"/>
      <c r="Y7" s="13" t="s">
        <v>90</v>
      </c>
      <c r="Z7"/>
      <c r="AA7"/>
      <c r="AB7"/>
      <c r="AC7"/>
      <c r="AD7"/>
      <c r="AE7"/>
      <c r="AF7"/>
      <c r="AG7"/>
      <c r="AH7"/>
      <c r="AI7"/>
      <c r="AJ7"/>
    </row>
    <row r="8" spans="1:37" ht="25.5" customHeight="1" thickBot="1" x14ac:dyDescent="0.35">
      <c r="B8" t="s">
        <v>3</v>
      </c>
      <c r="C8" s="49"/>
      <c r="I8" s="44"/>
      <c r="J8" t="s">
        <v>4</v>
      </c>
      <c r="M8" s="129"/>
      <c r="O8" s="14" t="s">
        <v>91</v>
      </c>
      <c r="Q8" s="14" t="s">
        <v>91</v>
      </c>
      <c r="S8" s="14" t="s">
        <v>91</v>
      </c>
      <c r="U8" s="14" t="s">
        <v>91</v>
      </c>
      <c r="W8" s="14"/>
      <c r="Y8" s="14" t="s">
        <v>91</v>
      </c>
      <c r="Z8"/>
      <c r="AA8"/>
      <c r="AB8"/>
      <c r="AC8"/>
      <c r="AD8"/>
      <c r="AE8"/>
      <c r="AF8"/>
      <c r="AG8"/>
      <c r="AH8"/>
      <c r="AI8"/>
      <c r="AJ8"/>
    </row>
    <row r="9" spans="1:37" ht="25.5" customHeight="1" thickBot="1" x14ac:dyDescent="0.35">
      <c r="C9" s="49"/>
      <c r="I9" s="44"/>
      <c r="M9" s="1"/>
      <c r="Z9"/>
      <c r="AA9"/>
      <c r="AB9"/>
      <c r="AC9"/>
      <c r="AD9"/>
      <c r="AE9"/>
      <c r="AF9"/>
      <c r="AG9"/>
      <c r="AH9"/>
      <c r="AI9"/>
      <c r="AJ9"/>
    </row>
    <row r="10" spans="1:37" ht="25.5" customHeight="1" thickBot="1" x14ac:dyDescent="0.35">
      <c r="C10" s="50"/>
      <c r="D10" s="51"/>
      <c r="E10" s="51"/>
      <c r="F10" s="51"/>
      <c r="G10" s="51"/>
      <c r="H10" s="51"/>
      <c r="I10" s="45"/>
      <c r="M10" s="134" t="s">
        <v>1</v>
      </c>
      <c r="O10" s="15" t="s">
        <v>2</v>
      </c>
      <c r="Q10" s="15" t="s">
        <v>93</v>
      </c>
      <c r="S10" s="15" t="s">
        <v>7</v>
      </c>
      <c r="U10" s="15" t="s">
        <v>83</v>
      </c>
      <c r="W10" s="15" t="s">
        <v>97</v>
      </c>
      <c r="Y10" s="15" t="s">
        <v>12</v>
      </c>
      <c r="Z10"/>
      <c r="AA10"/>
      <c r="AB10"/>
      <c r="AC10"/>
      <c r="AD10"/>
      <c r="AE10"/>
      <c r="AF10"/>
      <c r="AG10"/>
      <c r="AH10"/>
      <c r="AI10"/>
      <c r="AJ10"/>
    </row>
    <row r="11" spans="1:37" ht="25.5" customHeight="1" x14ac:dyDescent="0.3">
      <c r="F11" t="s">
        <v>6</v>
      </c>
      <c r="M11" s="135"/>
      <c r="O11" s="16" t="s">
        <v>88</v>
      </c>
      <c r="Q11" s="16" t="s">
        <v>88</v>
      </c>
      <c r="S11" s="16"/>
      <c r="U11" s="16" t="s">
        <v>88</v>
      </c>
      <c r="W11" s="16"/>
      <c r="Y11" s="16" t="s">
        <v>88</v>
      </c>
      <c r="Z11"/>
      <c r="AA11"/>
      <c r="AB11"/>
      <c r="AC11"/>
      <c r="AD11"/>
      <c r="AE11"/>
      <c r="AF11"/>
      <c r="AG11"/>
      <c r="AH11"/>
      <c r="AI11"/>
      <c r="AJ11"/>
    </row>
    <row r="12" spans="1:37" ht="25.5" customHeight="1" thickBot="1" x14ac:dyDescent="0.35">
      <c r="C12" s="145" t="s">
        <v>80</v>
      </c>
      <c r="D12" s="146"/>
      <c r="E12" s="146"/>
      <c r="F12" s="146"/>
      <c r="G12" s="146"/>
      <c r="H12" s="146"/>
      <c r="I12" s="147"/>
      <c r="M12" s="136"/>
      <c r="O12" s="17" t="s">
        <v>89</v>
      </c>
      <c r="Q12" s="17" t="s">
        <v>89</v>
      </c>
      <c r="S12" s="17"/>
      <c r="U12" s="17" t="s">
        <v>89</v>
      </c>
      <c r="W12" s="17" t="s">
        <v>89</v>
      </c>
      <c r="Y12" s="17" t="s">
        <v>89</v>
      </c>
      <c r="Z12"/>
      <c r="AA12"/>
      <c r="AB12"/>
      <c r="AC12"/>
      <c r="AD12"/>
      <c r="AE12"/>
      <c r="AF12"/>
      <c r="AG12"/>
      <c r="AH12"/>
      <c r="AI12"/>
      <c r="AJ12"/>
    </row>
    <row r="13" spans="1:37" ht="25.5" customHeight="1" x14ac:dyDescent="0.3">
      <c r="AK13" s="1"/>
    </row>
    <row r="14" spans="1:37" ht="25.5" customHeight="1" x14ac:dyDescent="0.3"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</row>
    <row r="15" spans="1:37" ht="25.5" customHeight="1" thickBot="1" x14ac:dyDescent="0.35"/>
    <row r="16" spans="1:37" ht="25.5" customHeight="1" thickBot="1" x14ac:dyDescent="0.35">
      <c r="C16" s="51"/>
      <c r="D16" s="51"/>
      <c r="E16" s="51"/>
      <c r="F16" t="s">
        <v>5</v>
      </c>
      <c r="G16" s="51"/>
      <c r="H16" s="51"/>
      <c r="I16" s="51"/>
      <c r="O16" s="18" t="s">
        <v>2</v>
      </c>
      <c r="Q16" s="18" t="s">
        <v>95</v>
      </c>
      <c r="S16" s="18" t="s">
        <v>92</v>
      </c>
      <c r="U16" s="18" t="s">
        <v>82</v>
      </c>
      <c r="W16" s="22" t="s">
        <v>106</v>
      </c>
      <c r="Y16" s="18" t="s">
        <v>83</v>
      </c>
      <c r="AA16" s="22" t="s">
        <v>107</v>
      </c>
      <c r="AC16" s="18" t="s">
        <v>85</v>
      </c>
      <c r="AE16" s="18" t="s">
        <v>86</v>
      </c>
      <c r="AG16" s="18" t="s">
        <v>87</v>
      </c>
      <c r="AI16" s="18" t="s">
        <v>12</v>
      </c>
    </row>
    <row r="17" spans="2:35" ht="25.5" customHeight="1" thickBot="1" x14ac:dyDescent="0.35">
      <c r="C17" s="47"/>
      <c r="D17" s="48"/>
      <c r="E17" s="48"/>
      <c r="F17" s="48"/>
      <c r="G17" s="48"/>
      <c r="H17" s="48"/>
      <c r="I17" s="43"/>
    </row>
    <row r="18" spans="2:35" ht="25.5" customHeight="1" x14ac:dyDescent="0.3">
      <c r="C18" s="49"/>
      <c r="I18" s="44"/>
      <c r="M18" s="127" t="s">
        <v>0</v>
      </c>
      <c r="O18" s="12" t="s">
        <v>2</v>
      </c>
      <c r="Q18"/>
      <c r="S18" s="12" t="s">
        <v>92</v>
      </c>
      <c r="U18" s="12" t="s">
        <v>82</v>
      </c>
      <c r="Y18" s="12" t="s">
        <v>83</v>
      </c>
      <c r="AC18" s="12" t="s">
        <v>85</v>
      </c>
      <c r="AE18" s="12" t="s">
        <v>86</v>
      </c>
      <c r="AG18" s="12" t="s">
        <v>87</v>
      </c>
      <c r="AI18" s="12" t="s">
        <v>12</v>
      </c>
    </row>
    <row r="19" spans="2:35" ht="25.5" customHeight="1" x14ac:dyDescent="0.3">
      <c r="C19" s="49"/>
      <c r="I19" s="44"/>
      <c r="M19" s="128"/>
      <c r="O19" s="13" t="s">
        <v>3</v>
      </c>
      <c r="Q19"/>
      <c r="S19" s="13" t="s">
        <v>3</v>
      </c>
      <c r="U19" s="13" t="s">
        <v>3</v>
      </c>
      <c r="Y19" s="13" t="s">
        <v>3</v>
      </c>
      <c r="AC19" s="13" t="s">
        <v>3</v>
      </c>
      <c r="AE19" s="13" t="s">
        <v>3</v>
      </c>
      <c r="AG19" s="13" t="s">
        <v>3</v>
      </c>
      <c r="AI19" s="13" t="s">
        <v>3</v>
      </c>
    </row>
    <row r="20" spans="2:35" ht="25.5" customHeight="1" thickBot="1" x14ac:dyDescent="0.35">
      <c r="B20" t="s">
        <v>3</v>
      </c>
      <c r="C20" s="49"/>
      <c r="I20" s="44"/>
      <c r="J20" t="s">
        <v>4</v>
      </c>
      <c r="M20" s="129"/>
      <c r="O20" s="14" t="s">
        <v>4</v>
      </c>
      <c r="Q20"/>
      <c r="S20" s="14" t="s">
        <v>4</v>
      </c>
      <c r="U20" s="14" t="s">
        <v>4</v>
      </c>
      <c r="Y20" s="14" t="s">
        <v>4</v>
      </c>
      <c r="AC20" s="14" t="s">
        <v>4</v>
      </c>
      <c r="AE20" s="14" t="s">
        <v>4</v>
      </c>
      <c r="AG20" s="14" t="s">
        <v>4</v>
      </c>
      <c r="AI20" s="14" t="s">
        <v>4</v>
      </c>
    </row>
    <row r="21" spans="2:35" ht="25.5" customHeight="1" thickBot="1" x14ac:dyDescent="0.35">
      <c r="C21" s="49"/>
      <c r="I21" s="44"/>
      <c r="M21" s="1"/>
      <c r="V21" s="1" t="s">
        <v>108</v>
      </c>
    </row>
    <row r="22" spans="2:35" ht="25.5" customHeight="1" thickBot="1" x14ac:dyDescent="0.35">
      <c r="C22" s="50"/>
      <c r="D22" s="51"/>
      <c r="E22" s="51"/>
      <c r="F22" s="51"/>
      <c r="G22" s="51"/>
      <c r="H22" s="51"/>
      <c r="I22" s="45"/>
      <c r="M22" s="134" t="s">
        <v>1</v>
      </c>
      <c r="O22" s="15" t="s">
        <v>2</v>
      </c>
      <c r="Q22" s="15" t="s">
        <v>96</v>
      </c>
      <c r="S22" s="15" t="s">
        <v>81</v>
      </c>
      <c r="W22" s="56" t="s">
        <v>106</v>
      </c>
      <c r="Y22" s="15" t="s">
        <v>83</v>
      </c>
      <c r="AA22" s="56" t="s">
        <v>107</v>
      </c>
      <c r="AI22" s="15" t="s">
        <v>12</v>
      </c>
    </row>
    <row r="23" spans="2:35" ht="25.5" customHeight="1" x14ac:dyDescent="0.3">
      <c r="F23" t="s">
        <v>6</v>
      </c>
      <c r="M23" s="135"/>
      <c r="O23" s="16" t="s">
        <v>5</v>
      </c>
      <c r="Q23" s="16"/>
      <c r="S23" s="16" t="s">
        <v>5</v>
      </c>
      <c r="W23" s="16"/>
      <c r="Y23" s="16" t="s">
        <v>5</v>
      </c>
      <c r="AA23" s="16"/>
      <c r="AI23" s="16" t="s">
        <v>5</v>
      </c>
    </row>
    <row r="24" spans="2:35" ht="25.5" customHeight="1" thickBot="1" x14ac:dyDescent="0.35">
      <c r="C24" s="145" t="s">
        <v>26</v>
      </c>
      <c r="D24" s="146"/>
      <c r="E24" s="146"/>
      <c r="F24" s="146"/>
      <c r="G24" s="146"/>
      <c r="H24" s="146"/>
      <c r="I24" s="147"/>
      <c r="M24" s="136"/>
      <c r="O24" s="17" t="s">
        <v>6</v>
      </c>
      <c r="Q24" s="17" t="s">
        <v>6</v>
      </c>
      <c r="S24" s="17" t="s">
        <v>6</v>
      </c>
      <c r="W24" s="17" t="s">
        <v>6</v>
      </c>
      <c r="Y24" s="17" t="s">
        <v>6</v>
      </c>
      <c r="AA24" s="17" t="s">
        <v>6</v>
      </c>
      <c r="AI24" s="17" t="s">
        <v>6</v>
      </c>
    </row>
    <row r="25" spans="2:35" ht="19.5" customHeight="1" x14ac:dyDescent="0.3"/>
    <row r="26" spans="2:35" ht="20.25" customHeight="1" x14ac:dyDescent="0.3"/>
  </sheetData>
  <mergeCells count="7">
    <mergeCell ref="M22:M24"/>
    <mergeCell ref="C24:I24"/>
    <mergeCell ref="A1:AI1"/>
    <mergeCell ref="M6:M8"/>
    <mergeCell ref="M10:M12"/>
    <mergeCell ref="C12:I12"/>
    <mergeCell ref="M18:M20"/>
  </mergeCells>
  <phoneticPr fontId="1" type="noConversion"/>
  <pageMargins left="0.7" right="0.7" top="0.75" bottom="0.75" header="0.3" footer="0.3"/>
  <pageSetup paperSize="9" scale="51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B1067-1437-4ED9-8B03-FB6FE3B66485}">
  <sheetPr>
    <pageSetUpPr fitToPage="1"/>
  </sheetPr>
  <dimension ref="A1:AG26"/>
  <sheetViews>
    <sheetView showGridLines="0" zoomScale="80" zoomScaleNormal="80" workbookViewId="0">
      <selection activeCell="Y16" sqref="Y16"/>
    </sheetView>
  </sheetViews>
  <sheetFormatPr defaultRowHeight="16.5" x14ac:dyDescent="0.3"/>
  <cols>
    <col min="1" max="12" width="3.5" customWidth="1"/>
    <col min="13" max="13" width="4.75" customWidth="1"/>
    <col min="14" max="14" width="3.5" style="1" customWidth="1"/>
    <col min="15" max="15" width="13.625" style="1" customWidth="1"/>
    <col min="16" max="16" width="3.5" style="1" customWidth="1"/>
    <col min="17" max="17" width="13.625" style="1" customWidth="1"/>
    <col min="18" max="18" width="3.5" style="1" customWidth="1"/>
    <col min="19" max="19" width="13.625" style="1" customWidth="1"/>
    <col min="20" max="20" width="3.5" style="1" customWidth="1"/>
    <col min="21" max="21" width="13.625" style="1" customWidth="1"/>
    <col min="22" max="22" width="3.5" style="1" customWidth="1"/>
    <col min="23" max="23" width="13.625" style="1" customWidth="1"/>
    <col min="24" max="24" width="3.5" style="1" customWidth="1"/>
    <col min="25" max="25" width="13.625" style="1" customWidth="1"/>
    <col min="26" max="26" width="3.5" style="1" customWidth="1"/>
    <col min="27" max="27" width="13.625" style="1" customWidth="1"/>
    <col min="28" max="28" width="3.5" style="1" customWidth="1"/>
    <col min="29" max="29" width="13.625" style="1" customWidth="1"/>
    <col min="30" max="30" width="3.5" style="1" customWidth="1"/>
    <col min="31" max="31" width="13.625" style="1" customWidth="1"/>
    <col min="32" max="32" width="3.5" style="1" customWidth="1"/>
    <col min="33" max="33" width="13.625" style="1" customWidth="1"/>
    <col min="34" max="34" width="3.5" customWidth="1"/>
    <col min="35" max="35" width="5.25" bestFit="1" customWidth="1"/>
  </cols>
  <sheetData>
    <row r="1" spans="1:33" ht="28.5" customHeight="1" x14ac:dyDescent="0.3">
      <c r="A1" s="144" t="s">
        <v>100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  <c r="AC1" s="144"/>
      <c r="AD1" s="144"/>
      <c r="AE1" s="144"/>
      <c r="AF1" s="144"/>
      <c r="AG1" s="144"/>
    </row>
    <row r="2" spans="1:33" ht="25.5" customHeight="1" x14ac:dyDescent="0.3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</row>
    <row r="3" spans="1:33" ht="25.5" customHeight="1" thickBot="1" x14ac:dyDescent="0.35">
      <c r="W3" s="1" t="s">
        <v>104</v>
      </c>
    </row>
    <row r="4" spans="1:33" ht="25.5" customHeight="1" thickBot="1" x14ac:dyDescent="0.35">
      <c r="C4" s="51"/>
      <c r="D4" s="51"/>
      <c r="E4" s="51"/>
      <c r="F4" t="s">
        <v>5</v>
      </c>
      <c r="G4" s="51"/>
      <c r="H4" s="51"/>
      <c r="I4" s="51"/>
      <c r="O4" s="18" t="s">
        <v>2</v>
      </c>
      <c r="Q4" s="18" t="s">
        <v>93</v>
      </c>
      <c r="S4" s="18" t="s">
        <v>7</v>
      </c>
      <c r="U4" s="18" t="s">
        <v>83</v>
      </c>
      <c r="W4" s="18" t="s">
        <v>94</v>
      </c>
      <c r="Y4" s="18" t="s">
        <v>12</v>
      </c>
      <c r="Z4"/>
      <c r="AA4"/>
      <c r="AB4"/>
      <c r="AC4"/>
      <c r="AD4"/>
      <c r="AE4"/>
      <c r="AF4"/>
      <c r="AG4"/>
    </row>
    <row r="5" spans="1:33" ht="25.5" customHeight="1" thickBot="1" x14ac:dyDescent="0.35">
      <c r="C5" s="47"/>
      <c r="D5" s="48"/>
      <c r="E5" s="48"/>
      <c r="F5" s="48"/>
      <c r="G5" s="48"/>
      <c r="H5" s="48"/>
      <c r="I5" s="43"/>
      <c r="Z5"/>
      <c r="AA5"/>
      <c r="AB5"/>
      <c r="AC5"/>
      <c r="AD5"/>
      <c r="AE5"/>
      <c r="AF5"/>
      <c r="AG5"/>
    </row>
    <row r="6" spans="1:33" ht="25.5" customHeight="1" x14ac:dyDescent="0.3">
      <c r="C6" s="49"/>
      <c r="I6" s="44"/>
      <c r="M6" s="127" t="s">
        <v>0</v>
      </c>
      <c r="O6" s="12" t="s">
        <v>2</v>
      </c>
      <c r="Q6" s="12" t="s">
        <v>93</v>
      </c>
      <c r="S6" s="12" t="s">
        <v>7</v>
      </c>
      <c r="U6" s="12" t="s">
        <v>83</v>
      </c>
      <c r="W6" s="12" t="s">
        <v>94</v>
      </c>
      <c r="Y6" s="12" t="s">
        <v>12</v>
      </c>
      <c r="Z6"/>
      <c r="AA6"/>
      <c r="AB6"/>
      <c r="AC6"/>
      <c r="AD6"/>
      <c r="AE6"/>
      <c r="AF6"/>
      <c r="AG6"/>
    </row>
    <row r="7" spans="1:33" ht="25.5" customHeight="1" x14ac:dyDescent="0.3">
      <c r="C7" s="49"/>
      <c r="I7" s="44"/>
      <c r="M7" s="128"/>
      <c r="O7" s="13" t="s">
        <v>90</v>
      </c>
      <c r="Q7" s="13" t="s">
        <v>90</v>
      </c>
      <c r="S7" s="13" t="s">
        <v>90</v>
      </c>
      <c r="U7" s="13" t="s">
        <v>90</v>
      </c>
      <c r="W7" s="13"/>
      <c r="Y7" s="13" t="s">
        <v>90</v>
      </c>
      <c r="Z7"/>
      <c r="AA7"/>
      <c r="AB7"/>
      <c r="AC7"/>
      <c r="AD7"/>
      <c r="AE7"/>
      <c r="AF7"/>
      <c r="AG7"/>
    </row>
    <row r="8" spans="1:33" ht="25.5" customHeight="1" thickBot="1" x14ac:dyDescent="0.35">
      <c r="B8" t="s">
        <v>3</v>
      </c>
      <c r="C8" s="49"/>
      <c r="I8" s="44"/>
      <c r="J8" t="s">
        <v>4</v>
      </c>
      <c r="M8" s="129"/>
      <c r="O8" s="14" t="s">
        <v>91</v>
      </c>
      <c r="Q8" s="14" t="s">
        <v>91</v>
      </c>
      <c r="S8" s="14" t="s">
        <v>91</v>
      </c>
      <c r="U8" s="14" t="s">
        <v>91</v>
      </c>
      <c r="W8" s="14" t="s">
        <v>91</v>
      </c>
      <c r="Y8" s="14" t="s">
        <v>91</v>
      </c>
      <c r="Z8"/>
      <c r="AA8"/>
      <c r="AB8"/>
      <c r="AC8"/>
      <c r="AD8"/>
      <c r="AE8"/>
      <c r="AF8"/>
      <c r="AG8"/>
    </row>
    <row r="9" spans="1:33" ht="25.5" customHeight="1" thickBot="1" x14ac:dyDescent="0.35">
      <c r="C9" s="49"/>
      <c r="I9" s="44"/>
      <c r="M9" s="1"/>
      <c r="Z9"/>
      <c r="AA9"/>
      <c r="AB9"/>
      <c r="AC9"/>
      <c r="AD9"/>
      <c r="AE9"/>
      <c r="AF9"/>
      <c r="AG9"/>
    </row>
    <row r="10" spans="1:33" ht="25.5" customHeight="1" thickBot="1" x14ac:dyDescent="0.35">
      <c r="C10" s="50"/>
      <c r="D10" s="51"/>
      <c r="E10" s="51"/>
      <c r="F10" s="51"/>
      <c r="G10" s="51"/>
      <c r="H10" s="51"/>
      <c r="I10" s="45"/>
      <c r="M10" s="134" t="s">
        <v>1</v>
      </c>
      <c r="O10" s="15" t="s">
        <v>2</v>
      </c>
      <c r="Q10" s="15" t="s">
        <v>93</v>
      </c>
      <c r="S10"/>
      <c r="U10" s="15" t="s">
        <v>83</v>
      </c>
      <c r="Y10" s="15" t="s">
        <v>12</v>
      </c>
      <c r="Z10"/>
      <c r="AA10"/>
      <c r="AB10"/>
      <c r="AC10"/>
      <c r="AD10"/>
      <c r="AE10"/>
      <c r="AF10"/>
      <c r="AG10"/>
    </row>
    <row r="11" spans="1:33" ht="25.5" customHeight="1" x14ac:dyDescent="0.3">
      <c r="F11" t="s">
        <v>6</v>
      </c>
      <c r="M11" s="135"/>
      <c r="O11" s="16" t="s">
        <v>88</v>
      </c>
      <c r="Q11" s="16" t="s">
        <v>88</v>
      </c>
      <c r="S11"/>
      <c r="U11" s="16" t="s">
        <v>88</v>
      </c>
      <c r="Y11" s="16" t="s">
        <v>88</v>
      </c>
      <c r="Z11"/>
      <c r="AA11"/>
      <c r="AB11"/>
      <c r="AC11"/>
      <c r="AD11"/>
      <c r="AE11"/>
      <c r="AF11"/>
      <c r="AG11"/>
    </row>
    <row r="12" spans="1:33" ht="25.5" customHeight="1" thickBot="1" x14ac:dyDescent="0.35">
      <c r="C12" s="145" t="s">
        <v>80</v>
      </c>
      <c r="D12" s="146"/>
      <c r="E12" s="146"/>
      <c r="F12" s="146"/>
      <c r="G12" s="146"/>
      <c r="H12" s="146"/>
      <c r="I12" s="147"/>
      <c r="M12" s="136"/>
      <c r="O12" s="17" t="s">
        <v>89</v>
      </c>
      <c r="Q12" s="17" t="s">
        <v>89</v>
      </c>
      <c r="S12"/>
      <c r="U12" s="17" t="s">
        <v>89</v>
      </c>
      <c r="Y12" s="17" t="s">
        <v>89</v>
      </c>
      <c r="Z12"/>
      <c r="AA12"/>
      <c r="AB12"/>
      <c r="AC12"/>
      <c r="AD12"/>
      <c r="AE12"/>
      <c r="AF12"/>
      <c r="AG12"/>
    </row>
    <row r="13" spans="1:33" ht="25.5" customHeight="1" x14ac:dyDescent="0.3"/>
    <row r="14" spans="1:33" ht="25.5" customHeight="1" x14ac:dyDescent="0.3"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</row>
    <row r="15" spans="1:33" ht="25.5" customHeight="1" thickBot="1" x14ac:dyDescent="0.35"/>
    <row r="16" spans="1:33" ht="25.5" customHeight="1" thickBot="1" x14ac:dyDescent="0.35">
      <c r="C16" s="51"/>
      <c r="D16" s="51"/>
      <c r="E16" s="51"/>
      <c r="F16" t="s">
        <v>5</v>
      </c>
      <c r="G16" s="51"/>
      <c r="H16" s="51"/>
      <c r="I16" s="51"/>
      <c r="O16" s="18" t="s">
        <v>2</v>
      </c>
      <c r="Q16" s="18" t="s">
        <v>92</v>
      </c>
      <c r="S16" s="18" t="s">
        <v>82</v>
      </c>
      <c r="U16" s="18" t="s">
        <v>83</v>
      </c>
      <c r="W16" s="18" t="s">
        <v>84</v>
      </c>
      <c r="Y16" s="18" t="s">
        <v>101</v>
      </c>
      <c r="AA16" s="18" t="s">
        <v>102</v>
      </c>
      <c r="AC16" s="18" t="s">
        <v>87</v>
      </c>
      <c r="AE16" s="18" t="s">
        <v>12</v>
      </c>
      <c r="AF16"/>
      <c r="AG16"/>
    </row>
    <row r="17" spans="2:33" ht="25.5" customHeight="1" thickBot="1" x14ac:dyDescent="0.35">
      <c r="C17" s="47"/>
      <c r="D17" s="48"/>
      <c r="E17" s="48"/>
      <c r="F17" s="48"/>
      <c r="G17" s="48"/>
      <c r="H17" s="48"/>
      <c r="I17" s="43"/>
      <c r="AF17"/>
      <c r="AG17"/>
    </row>
    <row r="18" spans="2:33" ht="25.5" customHeight="1" x14ac:dyDescent="0.3">
      <c r="C18" s="49"/>
      <c r="I18" s="44"/>
      <c r="M18" s="127" t="s">
        <v>0</v>
      </c>
      <c r="O18" s="12" t="s">
        <v>2</v>
      </c>
      <c r="Q18" s="12" t="s">
        <v>92</v>
      </c>
      <c r="S18" s="12" t="s">
        <v>82</v>
      </c>
      <c r="U18" s="12" t="s">
        <v>83</v>
      </c>
      <c r="W18" s="12" t="s">
        <v>84</v>
      </c>
      <c r="Y18" s="12" t="s">
        <v>101</v>
      </c>
      <c r="AA18"/>
      <c r="AC18" s="12" t="s">
        <v>87</v>
      </c>
      <c r="AE18" s="12" t="s">
        <v>12</v>
      </c>
      <c r="AF18"/>
      <c r="AG18"/>
    </row>
    <row r="19" spans="2:33" ht="25.5" customHeight="1" x14ac:dyDescent="0.3">
      <c r="C19" s="49"/>
      <c r="I19" s="44"/>
      <c r="M19" s="128"/>
      <c r="O19" s="13" t="s">
        <v>3</v>
      </c>
      <c r="Q19" s="13" t="s">
        <v>3</v>
      </c>
      <c r="S19" s="13" t="s">
        <v>3</v>
      </c>
      <c r="U19" s="13" t="s">
        <v>3</v>
      </c>
      <c r="W19" s="13"/>
      <c r="Y19" s="13" t="s">
        <v>3</v>
      </c>
      <c r="AA19"/>
      <c r="AC19" s="13" t="s">
        <v>3</v>
      </c>
      <c r="AE19" s="13" t="s">
        <v>3</v>
      </c>
      <c r="AF19"/>
      <c r="AG19"/>
    </row>
    <row r="20" spans="2:33" ht="25.5" customHeight="1" thickBot="1" x14ac:dyDescent="0.35">
      <c r="B20" t="s">
        <v>3</v>
      </c>
      <c r="C20" s="49"/>
      <c r="I20" s="44"/>
      <c r="J20" t="s">
        <v>4</v>
      </c>
      <c r="M20" s="129"/>
      <c r="O20" s="14" t="s">
        <v>4</v>
      </c>
      <c r="Q20" s="14" t="s">
        <v>4</v>
      </c>
      <c r="S20" s="14" t="s">
        <v>4</v>
      </c>
      <c r="U20" s="14" t="s">
        <v>4</v>
      </c>
      <c r="W20" s="14" t="s">
        <v>4</v>
      </c>
      <c r="Y20" s="14"/>
      <c r="AA20"/>
      <c r="AC20" s="14" t="s">
        <v>4</v>
      </c>
      <c r="AE20" s="14" t="s">
        <v>4</v>
      </c>
      <c r="AF20"/>
      <c r="AG20"/>
    </row>
    <row r="21" spans="2:33" ht="25.5" customHeight="1" thickBot="1" x14ac:dyDescent="0.35">
      <c r="C21" s="49"/>
      <c r="I21" s="44"/>
      <c r="M21" s="1"/>
      <c r="AF21"/>
      <c r="AG21"/>
    </row>
    <row r="22" spans="2:33" ht="25.5" customHeight="1" thickBot="1" x14ac:dyDescent="0.35">
      <c r="C22" s="50"/>
      <c r="D22" s="51"/>
      <c r="E22" s="51"/>
      <c r="F22" s="51"/>
      <c r="G22" s="51"/>
      <c r="H22" s="51"/>
      <c r="I22" s="45"/>
      <c r="M22" s="134" t="s">
        <v>1</v>
      </c>
      <c r="O22" s="15" t="s">
        <v>2</v>
      </c>
      <c r="Q22" s="15" t="s">
        <v>81</v>
      </c>
      <c r="U22" s="15" t="s">
        <v>83</v>
      </c>
      <c r="AA22" s="15" t="s">
        <v>102</v>
      </c>
      <c r="AC22" s="15" t="s">
        <v>87</v>
      </c>
      <c r="AE22" s="15" t="s">
        <v>12</v>
      </c>
      <c r="AF22"/>
      <c r="AG22"/>
    </row>
    <row r="23" spans="2:33" ht="25.5" customHeight="1" x14ac:dyDescent="0.3">
      <c r="F23" t="s">
        <v>6</v>
      </c>
      <c r="M23" s="135"/>
      <c r="O23" s="16" t="s">
        <v>5</v>
      </c>
      <c r="Q23" s="16" t="s">
        <v>5</v>
      </c>
      <c r="U23" s="16" t="s">
        <v>5</v>
      </c>
      <c r="AA23" s="16" t="s">
        <v>5</v>
      </c>
      <c r="AC23" s="16" t="s">
        <v>5</v>
      </c>
      <c r="AE23" s="16" t="s">
        <v>5</v>
      </c>
      <c r="AF23"/>
      <c r="AG23"/>
    </row>
    <row r="24" spans="2:33" ht="25.5" customHeight="1" thickBot="1" x14ac:dyDescent="0.35">
      <c r="C24" s="145" t="s">
        <v>26</v>
      </c>
      <c r="D24" s="146"/>
      <c r="E24" s="146"/>
      <c r="F24" s="146"/>
      <c r="G24" s="146"/>
      <c r="H24" s="146"/>
      <c r="I24" s="147"/>
      <c r="M24" s="136"/>
      <c r="O24" s="17" t="s">
        <v>6</v>
      </c>
      <c r="Q24" s="17" t="s">
        <v>6</v>
      </c>
      <c r="U24" s="17" t="s">
        <v>6</v>
      </c>
      <c r="AA24" s="17" t="s">
        <v>6</v>
      </c>
      <c r="AC24" s="17" t="s">
        <v>6</v>
      </c>
      <c r="AE24" s="17" t="s">
        <v>6</v>
      </c>
      <c r="AF24"/>
      <c r="AG24"/>
    </row>
    <row r="25" spans="2:33" ht="19.5" customHeight="1" x14ac:dyDescent="0.3"/>
    <row r="26" spans="2:33" ht="20.25" customHeight="1" x14ac:dyDescent="0.3"/>
  </sheetData>
  <mergeCells count="7">
    <mergeCell ref="M22:M24"/>
    <mergeCell ref="C24:I24"/>
    <mergeCell ref="A1:AG1"/>
    <mergeCell ref="M6:M8"/>
    <mergeCell ref="M10:M12"/>
    <mergeCell ref="C12:I12"/>
    <mergeCell ref="M18:M20"/>
  </mergeCells>
  <phoneticPr fontId="1" type="noConversion"/>
  <pageMargins left="0.7" right="0.7" top="0.75" bottom="0.75" header="0.3" footer="0.3"/>
  <pageSetup paperSize="9" scale="5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4</vt:i4>
      </vt:variant>
    </vt:vector>
  </HeadingPairs>
  <TitlesOfParts>
    <vt:vector size="12" baseType="lpstr">
      <vt:lpstr>후렘</vt:lpstr>
      <vt:lpstr>문짝</vt:lpstr>
      <vt:lpstr>후렘ST</vt:lpstr>
      <vt:lpstr>문짝ST</vt:lpstr>
      <vt:lpstr>커튼월</vt:lpstr>
      <vt:lpstr>PJ(마스)</vt:lpstr>
      <vt:lpstr>PJ(우수)</vt:lpstr>
      <vt:lpstr>CM(마스)</vt:lpstr>
      <vt:lpstr>'CM(마스)'!Print_Area</vt:lpstr>
      <vt:lpstr>'PJ(마스)'!Print_Area</vt:lpstr>
      <vt:lpstr>'PJ(우수)'!Print_Area</vt:lpstr>
      <vt:lpstr>커튼월!Print_Area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난 김</dc:creator>
  <cp:lastModifiedBy>임시</cp:lastModifiedBy>
  <cp:lastPrinted>2026-02-24T08:09:29Z</cp:lastPrinted>
  <dcterms:created xsi:type="dcterms:W3CDTF">2025-12-08T01:41:37Z</dcterms:created>
  <dcterms:modified xsi:type="dcterms:W3CDTF">2026-04-14T06:55:34Z</dcterms:modified>
</cp:coreProperties>
</file>