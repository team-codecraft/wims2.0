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기능 요구사항 목록" sheetId="1" state="visible" r:id="rId1"/>
    <sheet xmlns:r="http://schemas.openxmlformats.org/officeDocument/2006/relationships" name="비기능 요구사항 목록" sheetId="2" state="visible" r:id="rId2"/>
    <sheet xmlns:r="http://schemas.openxmlformats.org/officeDocument/2006/relationships" name="요약 통계" sheetId="3" state="visible" r:id="rId3"/>
    <sheet xmlns:r="http://schemas.openxmlformats.org/officeDocument/2006/relationships" name="사이트맵-요구사항 매핑" sheetId="4" state="visible" r:id="rId4"/>
  </sheets>
  <definedNames>
    <definedName name="_xlnm._FilterDatabase" localSheetId="0" hidden="1">'기능 요구사항 목록'!$A$4:$L$86</definedName>
    <definedName name="_xlnm._FilterDatabase" localSheetId="1" hidden="1">'비기능 요구사항 목록'!$A$4:$K$60</definedName>
    <definedName name="_xlnm._FilterDatabase" localSheetId="3" hidden="1">'사이트맵-요구사항 매핑'!$A$4:$H$63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1F4E79"/>
      <sz val="14"/>
    </font>
    <font>
      <name val="DejaVu Sans"/>
      <family val="2"/>
      <b val="1"/>
      <color rgb="FF1F4E79"/>
      <sz val="14"/>
    </font>
    <font>
      <name val="DejaVu Sans"/>
      <family val="2"/>
      <color rgb="FF666666"/>
      <sz val="9"/>
    </font>
    <font>
      <name val="맑은 고딕"/>
      <charset val="1"/>
      <family val="0"/>
      <color rgb="FF666666"/>
      <sz val="9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1F4E79"/>
      <sz val="10"/>
    </font>
    <font>
      <name val="맑은 고딕"/>
      <charset val="1"/>
      <family val="0"/>
      <b val="1"/>
      <color rgb="FF1F4E79"/>
      <sz val="10"/>
    </font>
    <font>
      <name val="맑은 고딕"/>
      <charset val="1"/>
      <family val="0"/>
      <sz val="9"/>
    </font>
    <font>
      <name val="DejaVu Sans"/>
      <family val="2"/>
      <sz val="9"/>
    </font>
    <font>
      <name val="DejaVu Sans"/>
      <family val="2"/>
      <b val="1"/>
      <color rgb="FFCC0000"/>
      <sz val="9"/>
    </font>
    <font>
      <name val="DejaVu Sans"/>
      <family val="2"/>
      <b val="1"/>
      <color rgb="FF2E75B6"/>
      <sz val="11"/>
    </font>
    <font>
      <name val="맑은 고딕"/>
      <charset val="1"/>
      <family val="0"/>
      <b val="1"/>
      <color rgb="FF2E75B6"/>
      <sz val="11"/>
    </font>
    <font>
      <name val="DejaVu Sans"/>
      <family val="2"/>
      <b val="1"/>
      <sz val="9"/>
    </font>
  </fonts>
  <fills count="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8D7DA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8D7DA"/>
        <bgColor rgb="FFFCE4D6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7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7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CC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9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31" min="1" max="1"/>
    <col width="14" customWidth="1" style="31" min="2" max="2"/>
    <col width="12" customWidth="1" style="31" min="3" max="3"/>
    <col width="14" customWidth="1" style="31" min="4" max="4"/>
    <col width="30" customWidth="1" style="31" min="5" max="5"/>
    <col width="50" customWidth="1" style="31" min="6" max="6"/>
    <col width="22" customWidth="1" style="31" min="7" max="7"/>
    <col width="8" customWidth="1" style="31" min="8" max="8"/>
    <col width="10" customWidth="1" style="31" min="9" max="9"/>
    <col width="9" customWidth="1" style="31" min="10" max="10"/>
    <col width="10" customWidth="1" style="31" min="11" max="11"/>
    <col width="25" customWidth="1" style="31" min="12" max="12"/>
  </cols>
  <sheetData>
    <row r="1" ht="34.5" customHeight="1" s="32">
      <c r="A1" s="33" t="inlineStr">
        <is>
          <t>WIMS 2.0 기능 요구사항 목록 (AN12-1)</t>
        </is>
      </c>
    </row>
    <row r="2" ht="11.9" customHeight="1" s="32">
      <c r="A2" s="34" t="inlineStr">
        <is>
          <t>문서코드: AN12-1  |  버전: v1.2  |  작성일: 2026.04.03  |  작성자: 김성현(BA)  |  검토자: 김지광(PM)</t>
        </is>
      </c>
    </row>
    <row r="4" ht="30" customHeight="1" s="32">
      <c r="A4" s="35" t="inlineStr">
        <is>
          <t>No</t>
        </is>
      </c>
      <c r="B4" s="36" t="inlineStr">
        <is>
          <t>요구사항 ID</t>
        </is>
      </c>
      <c r="C4" s="36" t="inlineStr">
        <is>
          <t>서브시스템</t>
        </is>
      </c>
      <c r="D4" s="36" t="inlineStr">
        <is>
          <t>기능 영역</t>
        </is>
      </c>
      <c r="E4" s="36" t="inlineStr">
        <is>
          <t>요구사항 명</t>
        </is>
      </c>
      <c r="F4" s="36" t="inlineStr">
        <is>
          <t>요구사항 설명</t>
        </is>
      </c>
      <c r="G4" s="36" t="inlineStr">
        <is>
          <t>현행 화면 매핑</t>
        </is>
      </c>
      <c r="H4" s="36" t="inlineStr">
        <is>
          <t>난이도</t>
        </is>
      </c>
      <c r="I4" s="36" t="inlineStr">
        <is>
          <t>수용여부</t>
        </is>
      </c>
      <c r="J4" s="35" t="inlineStr">
        <is>
          <t>Phase</t>
        </is>
      </c>
      <c r="K4" s="36" t="inlineStr">
        <is>
          <t>우선순위</t>
        </is>
      </c>
      <c r="L4" s="36" t="inlineStr">
        <is>
          <t>출처</t>
        </is>
      </c>
    </row>
    <row r="5" ht="21.75" customHeight="1" s="32">
      <c r="A5" s="37" t="inlineStr">
        <is>
          <t>① 제품관리 (PM) — 17건</t>
        </is>
      </c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9" t="n"/>
    </row>
    <row r="6" ht="15" customHeight="1" s="32">
      <c r="A6" s="40" t="n">
        <v>1</v>
      </c>
      <c r="B6" s="40" t="inlineStr">
        <is>
          <t>FR-PM-001</t>
        </is>
      </c>
      <c r="C6" s="40" t="inlineStr">
        <is>
          <t>PM</t>
        </is>
      </c>
      <c r="D6" s="41" t="inlineStr">
        <is>
          <t>자재관리</t>
        </is>
      </c>
      <c r="E6" s="42" t="inlineStr">
        <is>
          <t>원자재 규격 정보 등록·관리</t>
        </is>
      </c>
      <c r="F6" s="42" t="inlineStr">
        <is>
          <t>원자재(프레임, 유리 등)의 규격 정보(재질, 치수, 중량 등)를 등록·수정·삭제·조회</t>
        </is>
      </c>
      <c r="G6" s="42" t="inlineStr">
        <is>
          <t>자재관리 &gt; 원자재 목록/상세</t>
        </is>
      </c>
      <c r="H6" s="43" t="inlineStr">
        <is>
          <t>하</t>
        </is>
      </c>
      <c r="I6" s="41" t="inlineStr">
        <is>
          <t>수용</t>
        </is>
      </c>
      <c r="J6" s="40" t="inlineStr">
        <is>
          <t>P1</t>
        </is>
      </c>
      <c r="K6" s="44" t="inlineStr">
        <is>
          <t>상</t>
        </is>
      </c>
      <c r="L6" s="45" t="inlineStr">
        <is>
          <t>AN11-2, 개발계획서 §3.2①</t>
        </is>
      </c>
    </row>
    <row r="7" ht="15" customHeight="1" s="32">
      <c r="A7" s="46" t="n">
        <v>2</v>
      </c>
      <c r="B7" s="46" t="inlineStr">
        <is>
          <t>FR-PM-002</t>
        </is>
      </c>
      <c r="C7" s="46" t="inlineStr">
        <is>
          <t>PM</t>
        </is>
      </c>
      <c r="D7" s="47" t="inlineStr">
        <is>
          <t>자재관리</t>
        </is>
      </c>
      <c r="E7" s="48" t="inlineStr">
        <is>
          <t>부자재 규격 정보 등록·관리</t>
        </is>
      </c>
      <c r="F7" s="48" t="inlineStr">
        <is>
          <t>부자재(부속, 가스켓, 실란트 등)의 규격 정보를 등록·수정·삭제·조회</t>
        </is>
      </c>
      <c r="G7" s="48" t="inlineStr">
        <is>
          <t>자재관리 &gt; 원자재 목록(부자재탭)</t>
        </is>
      </c>
      <c r="H7" s="43" t="inlineStr">
        <is>
          <t>하</t>
        </is>
      </c>
      <c r="I7" s="47" t="inlineStr">
        <is>
          <t>수용</t>
        </is>
      </c>
      <c r="J7" s="46" t="inlineStr">
        <is>
          <t>P1</t>
        </is>
      </c>
      <c r="K7" s="44" t="inlineStr">
        <is>
          <t>상</t>
        </is>
      </c>
      <c r="L7" s="49" t="inlineStr">
        <is>
          <t>AN11-2, 개발계획서 §3.2①</t>
        </is>
      </c>
    </row>
    <row r="8" ht="15" customHeight="1" s="32">
      <c r="A8" s="40" t="n">
        <v>3</v>
      </c>
      <c r="B8" s="40" t="inlineStr">
        <is>
          <t>FR-PM-003</t>
        </is>
      </c>
      <c r="C8" s="40" t="inlineStr">
        <is>
          <t>PM</t>
        </is>
      </c>
      <c r="D8" s="41" t="inlineStr">
        <is>
          <t>자재관리</t>
        </is>
      </c>
      <c r="E8" s="42" t="inlineStr">
        <is>
          <t>구매 단가 이력 관리</t>
        </is>
      </c>
      <c r="F8" s="42" t="inlineStr">
        <is>
          <t>자재별 구매 단가를 기간별로 이력 관리, 단가 변경 시 이전 이력 보존</t>
        </is>
      </c>
      <c r="G8" s="42" t="inlineStr">
        <is>
          <t>자재관리 &gt; 원자재 상세</t>
        </is>
      </c>
      <c r="H8" s="50" t="inlineStr">
        <is>
          <t>중</t>
        </is>
      </c>
      <c r="I8" s="41" t="inlineStr">
        <is>
          <t>수용</t>
        </is>
      </c>
      <c r="J8" s="40" t="inlineStr">
        <is>
          <t>P1</t>
        </is>
      </c>
      <c r="K8" s="44" t="inlineStr">
        <is>
          <t>상</t>
        </is>
      </c>
      <c r="L8" s="42" t="inlineStr">
        <is>
          <t>개발계획서 §3.2①</t>
        </is>
      </c>
    </row>
    <row r="9" ht="15" customHeight="1" s="32">
      <c r="A9" s="46" t="n">
        <v>4</v>
      </c>
      <c r="B9" s="46" t="inlineStr">
        <is>
          <t>FR-PM-004</t>
        </is>
      </c>
      <c r="C9" s="46" t="inlineStr">
        <is>
          <t>PM</t>
        </is>
      </c>
      <c r="D9" s="47" t="inlineStr">
        <is>
          <t>자재관리</t>
        </is>
      </c>
      <c r="E9" s="48" t="inlineStr">
        <is>
          <t>자재 코드 체계 표준화</t>
        </is>
      </c>
      <c r="F9" s="48" t="inlineStr">
        <is>
          <t>자재 코드 부여 규칙 표준화 및 기존 비표준 코드 전환</t>
        </is>
      </c>
      <c r="G9" s="48" t="inlineStr">
        <is>
          <t>자재관리 &gt; 원자재 목록</t>
        </is>
      </c>
      <c r="H9" s="50" t="inlineStr">
        <is>
          <t>중</t>
        </is>
      </c>
      <c r="I9" s="47" t="inlineStr">
        <is>
          <t>수용</t>
        </is>
      </c>
      <c r="J9" s="46" t="inlineStr">
        <is>
          <t>P1</t>
        </is>
      </c>
      <c r="K9" s="44" t="inlineStr">
        <is>
          <t>상</t>
        </is>
      </c>
      <c r="L9" s="49" t="inlineStr">
        <is>
          <t>AN11-2 만족도 1.33점</t>
        </is>
      </c>
    </row>
    <row r="10" ht="15" customHeight="1" s="32">
      <c r="A10" s="40" t="n">
        <v>5</v>
      </c>
      <c r="B10" s="40" t="inlineStr">
        <is>
          <t>FR-PM-005</t>
        </is>
      </c>
      <c r="C10" s="40" t="inlineStr">
        <is>
          <t>PM</t>
        </is>
      </c>
      <c r="D10" s="41" t="inlineStr">
        <is>
          <t>자재관리</t>
        </is>
      </c>
      <c r="E10" s="42" t="inlineStr">
        <is>
          <t>자재 등록 간소화 및 복사 기능</t>
        </is>
      </c>
      <c r="F10" s="42" t="inlineStr">
        <is>
          <t>유사 자재 복사 등록 및 Excel 일괄 업로드/다운로드 기능</t>
        </is>
      </c>
      <c r="G10" s="42" t="inlineStr">
        <is>
          <t>자재관리 &gt; 원자재 목록</t>
        </is>
      </c>
      <c r="H10" s="43" t="inlineStr">
        <is>
          <t>하</t>
        </is>
      </c>
      <c r="I10" s="41" t="inlineStr">
        <is>
          <t>수용</t>
        </is>
      </c>
      <c r="J10" s="40" t="inlineStr">
        <is>
          <t>P1</t>
        </is>
      </c>
      <c r="K10" s="41" t="inlineStr">
        <is>
          <t>중</t>
        </is>
      </c>
      <c r="L10" s="45" t="inlineStr">
        <is>
          <t>AN11-2 핵심#9(2명)</t>
        </is>
      </c>
    </row>
    <row r="11" ht="15" customHeight="1" s="32">
      <c r="A11" s="46" t="n">
        <v>6</v>
      </c>
      <c r="B11" s="46" t="inlineStr">
        <is>
          <t>FR-PM-006</t>
        </is>
      </c>
      <c r="C11" s="46" t="inlineStr">
        <is>
          <t>PM</t>
        </is>
      </c>
      <c r="D11" s="47" t="inlineStr">
        <is>
          <t>자재관리</t>
        </is>
      </c>
      <c r="E11" s="48" t="inlineStr">
        <is>
          <t>자재 필요수량 자동 산출</t>
        </is>
      </c>
      <c r="F11" s="49" t="inlineStr">
        <is>
          <t>BOM 구조 기반 제품 생산에 필요한 자재별 필요수량 자동 산출</t>
        </is>
      </c>
      <c r="G11" s="48" t="inlineStr">
        <is>
          <t>견적설계 &gt; 발주 탭</t>
        </is>
      </c>
      <c r="H11" s="50" t="inlineStr">
        <is>
          <t>중</t>
        </is>
      </c>
      <c r="I11" s="47" t="inlineStr">
        <is>
          <t>수용</t>
        </is>
      </c>
      <c r="J11" s="46" t="inlineStr">
        <is>
          <t>P1</t>
        </is>
      </c>
      <c r="K11" s="44" t="inlineStr">
        <is>
          <t>상</t>
        </is>
      </c>
      <c r="L11" s="49" t="inlineStr">
        <is>
          <t>AN11-2, 업체요청</t>
        </is>
      </c>
    </row>
    <row r="12" ht="15" customHeight="1" s="32">
      <c r="A12" s="40" t="n">
        <v>7</v>
      </c>
      <c r="B12" s="40" t="inlineStr">
        <is>
          <t>FR-PM-007</t>
        </is>
      </c>
      <c r="C12" s="40" t="inlineStr">
        <is>
          <t>PM</t>
        </is>
      </c>
      <c r="D12" s="41" t="inlineStr">
        <is>
          <t>자재관리</t>
        </is>
      </c>
      <c r="E12" s="42" t="inlineStr">
        <is>
          <t>자재 단가 자동 업데이트</t>
        </is>
      </c>
      <c r="F12" s="42" t="inlineStr">
        <is>
          <t>거래처 단가 변경 시 자재 마스터 구매 단가 자동 업데이트 및 알림</t>
        </is>
      </c>
      <c r="G12" s="42" t="inlineStr">
        <is>
          <t>자재관리 &gt; 원자재 상세</t>
        </is>
      </c>
      <c r="H12" s="50" t="inlineStr">
        <is>
          <t>중</t>
        </is>
      </c>
      <c r="I12" s="41" t="inlineStr">
        <is>
          <t>불수용</t>
        </is>
      </c>
      <c r="J12" s="40" t="inlineStr">
        <is>
          <t>-</t>
        </is>
      </c>
      <c r="K12" s="41" t="inlineStr">
        <is>
          <t>-</t>
        </is>
      </c>
      <c r="L12" s="45" t="inlineStr">
        <is>
          <t>AN11-2 자재영역. 외부 연동 시스템 미정의, MES 자재단가 미관리 → 불수용</t>
        </is>
      </c>
    </row>
    <row r="13" ht="15" customHeight="1" s="32">
      <c r="A13" s="46" t="n">
        <v>8</v>
      </c>
      <c r="B13" s="46" t="inlineStr">
        <is>
          <t>FR-PM-008</t>
        </is>
      </c>
      <c r="C13" s="46" t="inlineStr">
        <is>
          <t>PM</t>
        </is>
      </c>
      <c r="D13" s="47" t="inlineStr">
        <is>
          <t>공정관리</t>
        </is>
      </c>
      <c r="E13" s="48" t="inlineStr">
        <is>
          <t>공정 유형별 등록 및 관리</t>
        </is>
      </c>
      <c r="F13" s="48" t="inlineStr">
        <is>
          <t>도장/코팅, 널링, 절단, 가공, 조립 등 공정 유형 등록·수정·삭제·조회</t>
        </is>
      </c>
      <c r="G13" s="48" t="inlineStr">
        <is>
          <t>제품관리 &gt; (신규)</t>
        </is>
      </c>
      <c r="H13" s="50" t="inlineStr">
        <is>
          <t>중</t>
        </is>
      </c>
      <c r="I13" s="47" t="inlineStr">
        <is>
          <t>수용</t>
        </is>
      </c>
      <c r="J13" s="46" t="inlineStr">
        <is>
          <t>P1</t>
        </is>
      </c>
      <c r="K13" s="44" t="inlineStr">
        <is>
          <t>상</t>
        </is>
      </c>
      <c r="L13" s="48" t="inlineStr">
        <is>
          <t>개발계획서 §3.2①</t>
        </is>
      </c>
    </row>
    <row r="14" ht="15" customHeight="1" s="32">
      <c r="A14" s="40" t="n">
        <v>9</v>
      </c>
      <c r="B14" s="40" t="inlineStr">
        <is>
          <t>FR-PM-009</t>
        </is>
      </c>
      <c r="C14" s="40" t="inlineStr">
        <is>
          <t>PM</t>
        </is>
      </c>
      <c r="D14" s="41" t="inlineStr">
        <is>
          <t>공정관리</t>
        </is>
      </c>
      <c r="E14" s="42" t="inlineStr">
        <is>
          <t>공정별 규격 및 제조 단가 관리</t>
        </is>
      </c>
      <c r="F14" s="42" t="inlineStr">
        <is>
          <t>각 공정별 규격과 제조 단가 관리, 단가 이력 포함</t>
        </is>
      </c>
      <c r="G14" s="42" t="inlineStr">
        <is>
          <t>제품관리 &gt; (신규)</t>
        </is>
      </c>
      <c r="H14" s="50" t="inlineStr">
        <is>
          <t>중</t>
        </is>
      </c>
      <c r="I14" s="41" t="inlineStr">
        <is>
          <t>수용</t>
        </is>
      </c>
      <c r="J14" s="40" t="inlineStr">
        <is>
          <t>P1</t>
        </is>
      </c>
      <c r="K14" s="44" t="inlineStr">
        <is>
          <t>상</t>
        </is>
      </c>
      <c r="L14" s="42" t="inlineStr">
        <is>
          <t>개발계획서 §3.2①</t>
        </is>
      </c>
    </row>
    <row r="15" ht="15" customHeight="1" s="32">
      <c r="A15" s="46" t="n">
        <v>10</v>
      </c>
      <c r="B15" s="46" t="inlineStr">
        <is>
          <t>FR-PM-010</t>
        </is>
      </c>
      <c r="C15" s="46" t="inlineStr">
        <is>
          <t>PM</t>
        </is>
      </c>
      <c r="D15" s="46" t="inlineStr">
        <is>
          <t>BOM관리</t>
        </is>
      </c>
      <c r="E15" s="48" t="inlineStr">
        <is>
          <t>다단계 제조 BOM 구성</t>
        </is>
      </c>
      <c r="F15" s="48" t="inlineStr">
        <is>
          <t>원자재+부자재+공정+제조룰 조합한 다단계 제조 BOM 구성</t>
        </is>
      </c>
      <c r="G15" s="48" t="inlineStr">
        <is>
          <t>제품관리 &gt; 판매제품 상세</t>
        </is>
      </c>
      <c r="H15" s="44" t="inlineStr">
        <is>
          <t>상</t>
        </is>
      </c>
      <c r="I15" s="47" t="inlineStr">
        <is>
          <t>수용</t>
        </is>
      </c>
      <c r="J15" s="46" t="inlineStr">
        <is>
          <t>P1</t>
        </is>
      </c>
      <c r="K15" s="51" t="inlineStr">
        <is>
          <t>최상</t>
        </is>
      </c>
      <c r="L15" s="48" t="inlineStr">
        <is>
          <t>개발계획서 §3.2①</t>
        </is>
      </c>
    </row>
    <row r="16" ht="15" customHeight="1" s="32">
      <c r="A16" s="40" t="n">
        <v>11</v>
      </c>
      <c r="B16" s="40" t="inlineStr">
        <is>
          <t>FR-PM-011</t>
        </is>
      </c>
      <c r="C16" s="40" t="inlineStr">
        <is>
          <t>PM</t>
        </is>
      </c>
      <c r="D16" s="40" t="inlineStr">
        <is>
          <t>BOM관리</t>
        </is>
      </c>
      <c r="E16" s="45" t="inlineStr">
        <is>
          <t>BOM 계층 구조 트리 뷰 GUI</t>
        </is>
      </c>
      <c r="F16" s="45" t="inlineStr">
        <is>
          <t>BOM 계층을 트리 뷰로 시각화, 드래그&amp;드롭 구성 변경</t>
        </is>
      </c>
      <c r="G16" s="42" t="inlineStr">
        <is>
          <t>제품관리 &gt; 판매제품 상세</t>
        </is>
      </c>
      <c r="H16" s="44" t="inlineStr">
        <is>
          <t>상</t>
        </is>
      </c>
      <c r="I16" s="41" t="inlineStr">
        <is>
          <t>수용</t>
        </is>
      </c>
      <c r="J16" s="40" t="inlineStr">
        <is>
          <t>P1</t>
        </is>
      </c>
      <c r="K16" s="44" t="inlineStr">
        <is>
          <t>상</t>
        </is>
      </c>
      <c r="L16" s="42" t="inlineStr">
        <is>
          <t>개발계획서 §3.2①</t>
        </is>
      </c>
    </row>
    <row r="17" ht="15" customHeight="1" s="32">
      <c r="A17" s="46" t="n">
        <v>12</v>
      </c>
      <c r="B17" s="46" t="inlineStr">
        <is>
          <t>FR-PM-012</t>
        </is>
      </c>
      <c r="C17" s="46" t="inlineStr">
        <is>
          <t>PM</t>
        </is>
      </c>
      <c r="D17" s="46" t="inlineStr">
        <is>
          <t>BOM관리</t>
        </is>
      </c>
      <c r="E17" s="49" t="inlineStr">
        <is>
          <t>BOM 버전 관리 및 변경 이력 추적</t>
        </is>
      </c>
      <c r="F17" s="49" t="inlineStr">
        <is>
          <t>BOM 변경 시 버전 자동 생성 및 변경 이력 추적, 이전 버전 복원</t>
        </is>
      </c>
      <c r="G17" s="48" t="inlineStr">
        <is>
          <t>제품관리 &gt; 판매제품 상세</t>
        </is>
      </c>
      <c r="H17" s="50" t="inlineStr">
        <is>
          <t>중</t>
        </is>
      </c>
      <c r="I17" s="47" t="inlineStr">
        <is>
          <t>수용</t>
        </is>
      </c>
      <c r="J17" s="46" t="inlineStr">
        <is>
          <t>P1</t>
        </is>
      </c>
      <c r="K17" s="44" t="inlineStr">
        <is>
          <t>상</t>
        </is>
      </c>
      <c r="L17" s="48" t="inlineStr">
        <is>
          <t>개발계획서 §3.2①</t>
        </is>
      </c>
    </row>
    <row r="18" ht="15" customHeight="1" s="32">
      <c r="A18" s="40" t="n">
        <v>13</v>
      </c>
      <c r="B18" s="40" t="inlineStr">
        <is>
          <t>FR-PM-013</t>
        </is>
      </c>
      <c r="C18" s="40" t="inlineStr">
        <is>
          <t>PM</t>
        </is>
      </c>
      <c r="D18" s="40" t="inlineStr">
        <is>
          <t>MES연동</t>
        </is>
      </c>
      <c r="E18" s="45" t="inlineStr">
        <is>
          <t>MES 연동 BOM 데이터 인터페이스</t>
        </is>
      </c>
      <c r="F18" s="45" t="inlineStr">
        <is>
          <t>MES가 WIMS BOM/제품 구성 데이터를 REST API로 조회하는 인터페이스</t>
        </is>
      </c>
      <c r="G18" s="45" t="inlineStr">
        <is>
          <t>API (화면 없음)</t>
        </is>
      </c>
      <c r="H18" s="44" t="inlineStr">
        <is>
          <t>상</t>
        </is>
      </c>
      <c r="I18" s="41" t="inlineStr">
        <is>
          <t>수용</t>
        </is>
      </c>
      <c r="J18" s="40" t="inlineStr">
        <is>
          <t>P1</t>
        </is>
      </c>
      <c r="K18" s="51" t="inlineStr">
        <is>
          <t>최상</t>
        </is>
      </c>
      <c r="L18" s="42" t="inlineStr">
        <is>
          <t>개발계획서 §3.2①, §4.2</t>
        </is>
      </c>
    </row>
    <row r="19" ht="15" customHeight="1" s="32">
      <c r="A19" s="46" t="n">
        <v>14</v>
      </c>
      <c r="B19" s="46" t="inlineStr">
        <is>
          <t>FR-PM-014</t>
        </is>
      </c>
      <c r="C19" s="46" t="inlineStr">
        <is>
          <t>PM</t>
        </is>
      </c>
      <c r="D19" s="47" t="inlineStr">
        <is>
          <t>제품관리</t>
        </is>
      </c>
      <c r="E19" s="48" t="inlineStr">
        <is>
          <t>제품 분류 체계 관리</t>
        </is>
      </c>
      <c r="F19" s="48" t="inlineStr">
        <is>
          <t>창호/커튼월 제품의 분류 체계(대→중→소분류) 등록·관리</t>
        </is>
      </c>
      <c r="G19" s="48" t="inlineStr">
        <is>
          <t>제품관리 &gt; 판매제품 목록</t>
        </is>
      </c>
      <c r="H19" s="43" t="inlineStr">
        <is>
          <t>하</t>
        </is>
      </c>
      <c r="I19" s="47" t="inlineStr">
        <is>
          <t>수용</t>
        </is>
      </c>
      <c r="J19" s="46" t="inlineStr">
        <is>
          <t>P1</t>
        </is>
      </c>
      <c r="K19" s="44" t="inlineStr">
        <is>
          <t>상</t>
        </is>
      </c>
      <c r="L19" s="48" t="inlineStr">
        <is>
          <t>개발계획서 §3.2①</t>
        </is>
      </c>
    </row>
    <row r="20" ht="15" customHeight="1" s="32">
      <c r="A20" s="40" t="n">
        <v>15</v>
      </c>
      <c r="B20" s="40" t="inlineStr">
        <is>
          <t>FR-PM-015</t>
        </is>
      </c>
      <c r="C20" s="40" t="inlineStr">
        <is>
          <t>PM</t>
        </is>
      </c>
      <c r="D20" s="41" t="inlineStr">
        <is>
          <t>제품관리</t>
        </is>
      </c>
      <c r="E20" s="42" t="inlineStr">
        <is>
          <t>제품 코드 부여 및 관리</t>
        </is>
      </c>
      <c r="F20" s="42" t="inlineStr">
        <is>
          <t>제품 분류 체계에 따른 제품 코드 자동 부여 및 관리</t>
        </is>
      </c>
      <c r="G20" s="42" t="inlineStr">
        <is>
          <t>제품관리 &gt; 판매제품 목록</t>
        </is>
      </c>
      <c r="H20" s="43" t="inlineStr">
        <is>
          <t>하</t>
        </is>
      </c>
      <c r="I20" s="41" t="inlineStr">
        <is>
          <t>수용</t>
        </is>
      </c>
      <c r="J20" s="40" t="inlineStr">
        <is>
          <t>P1</t>
        </is>
      </c>
      <c r="K20" s="44" t="inlineStr">
        <is>
          <t>상</t>
        </is>
      </c>
      <c r="L20" s="42" t="inlineStr">
        <is>
          <t>개발계획서 §3.2①</t>
        </is>
      </c>
    </row>
    <row r="21" ht="15" customHeight="1" s="32">
      <c r="A21" s="46" t="n">
        <v>16</v>
      </c>
      <c r="B21" s="46" t="inlineStr">
        <is>
          <t>FR-PM-016</t>
        </is>
      </c>
      <c r="C21" s="46" t="inlineStr">
        <is>
          <t>PM</t>
        </is>
      </c>
      <c r="D21" s="47" t="inlineStr">
        <is>
          <t>제품관리</t>
        </is>
      </c>
      <c r="E21" s="48" t="inlineStr">
        <is>
          <t>제품 메타 정보 등록·조회</t>
        </is>
      </c>
      <c r="F21" s="48" t="inlineStr">
        <is>
          <t>제품별 메타 정보(규격, 이미지, 특성 등) 등록 및 조회</t>
        </is>
      </c>
      <c r="G21" s="48" t="inlineStr">
        <is>
          <t>제품관리 &gt; 판매제품 상세</t>
        </is>
      </c>
      <c r="H21" s="43" t="inlineStr">
        <is>
          <t>하</t>
        </is>
      </c>
      <c r="I21" s="47" t="inlineStr">
        <is>
          <t>수용</t>
        </is>
      </c>
      <c r="J21" s="46" t="inlineStr">
        <is>
          <t>P1</t>
        </is>
      </c>
      <c r="K21" s="47" t="inlineStr">
        <is>
          <t>중</t>
        </is>
      </c>
      <c r="L21" s="48" t="inlineStr">
        <is>
          <t>개발계획서 §3.2①</t>
        </is>
      </c>
    </row>
    <row r="22" ht="15" customHeight="1" s="32">
      <c r="A22" s="40" t="n">
        <v>17</v>
      </c>
      <c r="B22" s="40" t="inlineStr">
        <is>
          <t>FR-PM-017</t>
        </is>
      </c>
      <c r="C22" s="40" t="inlineStr">
        <is>
          <t>PM</t>
        </is>
      </c>
      <c r="D22" s="41" t="inlineStr">
        <is>
          <t>프로젝트</t>
        </is>
      </c>
      <c r="E22" s="42" t="inlineStr">
        <is>
          <t>프로젝트 등록·수정·삭제·상태관리</t>
        </is>
      </c>
      <c r="F22" s="42" t="inlineStr">
        <is>
          <t>프로젝트 생성/수정/삭제/상태관리/목록조회 기본 CRUD</t>
        </is>
      </c>
      <c r="G22" s="42" t="inlineStr">
        <is>
          <t>프로젝트관리 &gt; 전체/내/관심/종료</t>
        </is>
      </c>
      <c r="H22" s="50" t="inlineStr">
        <is>
          <t>중</t>
        </is>
      </c>
      <c r="I22" s="41" t="inlineStr">
        <is>
          <t>수용</t>
        </is>
      </c>
      <c r="J22" s="40" t="inlineStr">
        <is>
          <t>P1</t>
        </is>
      </c>
      <c r="K22" s="44" t="inlineStr">
        <is>
          <t>상</t>
        </is>
      </c>
      <c r="L22" s="45" t="inlineStr">
        <is>
          <t>AN21 사이트맵, 개발계획서</t>
        </is>
      </c>
    </row>
    <row r="23" ht="21.75" customHeight="1" s="32">
      <c r="A23" s="37" t="inlineStr">
        <is>
          <t>② 견적설계 (ES) — 21건</t>
        </is>
      </c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9" t="n"/>
    </row>
    <row r="24" ht="15" customHeight="1" s="32">
      <c r="A24" s="46" t="n">
        <v>18</v>
      </c>
      <c r="B24" s="46" t="inlineStr">
        <is>
          <t>FR-ES-001</t>
        </is>
      </c>
      <c r="C24" s="46" t="inlineStr">
        <is>
          <t>ES</t>
        </is>
      </c>
      <c r="D24" s="47" t="inlineStr">
        <is>
          <t>도면관리</t>
        </is>
      </c>
      <c r="E24" s="49" t="inlineStr">
        <is>
          <t>CAD 도면 업로드 및 웹 뷰어 변환</t>
        </is>
      </c>
      <c r="F24" s="49" t="inlineStr">
        <is>
          <t>CAD(.dwg) 업로드 후 웹 뷰어에서 볼 수 있도록 자동 변환</t>
        </is>
      </c>
      <c r="G24" s="48" t="inlineStr">
        <is>
          <t>도면 뷰어 &gt; 도면 선택기</t>
        </is>
      </c>
      <c r="H24" s="44" t="inlineStr">
        <is>
          <t>상</t>
        </is>
      </c>
      <c r="I24" s="47" t="inlineStr">
        <is>
          <t>수용</t>
        </is>
      </c>
      <c r="J24" s="46" t="inlineStr">
        <is>
          <t>P2</t>
        </is>
      </c>
      <c r="K24" s="51" t="inlineStr">
        <is>
          <t>최상</t>
        </is>
      </c>
      <c r="L24" s="49" t="inlineStr">
        <is>
          <t>AN11-2, 개발계획서</t>
        </is>
      </c>
    </row>
    <row r="25" ht="15" customHeight="1" s="32">
      <c r="A25" s="40" t="n">
        <v>19</v>
      </c>
      <c r="B25" s="40" t="inlineStr">
        <is>
          <t>FR-ES-002</t>
        </is>
      </c>
      <c r="C25" s="40" t="inlineStr">
        <is>
          <t>ES</t>
        </is>
      </c>
      <c r="D25" s="41" t="inlineStr">
        <is>
          <t>도면관리</t>
        </is>
      </c>
      <c r="E25" s="42" t="inlineStr">
        <is>
          <t>도면 내 개소 라벨링 및 관리</t>
        </is>
      </c>
      <c r="F25" s="42" t="inlineStr">
        <is>
          <t>도면에서 창호 설치 개소를 라벨링하고 관리</t>
        </is>
      </c>
      <c r="G25" s="42" t="inlineStr">
        <is>
          <t>도면 뷰어 &gt; 섹션 뷰어</t>
        </is>
      </c>
      <c r="H25" s="50" t="inlineStr">
        <is>
          <t>중</t>
        </is>
      </c>
      <c r="I25" s="41" t="inlineStr">
        <is>
          <t>수용</t>
        </is>
      </c>
      <c r="J25" s="40" t="inlineStr">
        <is>
          <t>P2</t>
        </is>
      </c>
      <c r="K25" s="44" t="inlineStr">
        <is>
          <t>상</t>
        </is>
      </c>
      <c r="L25" s="45" t="inlineStr">
        <is>
          <t>AN11-2</t>
        </is>
      </c>
    </row>
    <row r="26" ht="15" customHeight="1" s="32">
      <c r="A26" s="46" t="n">
        <v>20</v>
      </c>
      <c r="B26" s="46" t="inlineStr">
        <is>
          <t>FR-ES-003</t>
        </is>
      </c>
      <c r="C26" s="46" t="inlineStr">
        <is>
          <t>ES</t>
        </is>
      </c>
      <c r="D26" s="47" t="inlineStr">
        <is>
          <t>프로젝트</t>
        </is>
      </c>
      <c r="E26" s="48" t="inlineStr">
        <is>
          <t>설계자 배정 및 진행 현황 관리</t>
        </is>
      </c>
      <c r="F26" s="48" t="inlineStr">
        <is>
          <t>프로젝트별 설계자 배정 및 견적 진행 현황 추적</t>
        </is>
      </c>
      <c r="G26" s="48" t="inlineStr">
        <is>
          <t>프로젝트관리 &gt; 프로젝트 상세</t>
        </is>
      </c>
      <c r="H26" s="50" t="inlineStr">
        <is>
          <t>중</t>
        </is>
      </c>
      <c r="I26" s="47" t="inlineStr">
        <is>
          <t>수용</t>
        </is>
      </c>
      <c r="J26" s="46" t="inlineStr">
        <is>
          <t>P2</t>
        </is>
      </c>
      <c r="K26" s="44" t="inlineStr">
        <is>
          <t>상</t>
        </is>
      </c>
      <c r="L26" s="48" t="inlineStr">
        <is>
          <t>개발계획서</t>
        </is>
      </c>
    </row>
    <row r="27" ht="15" customHeight="1" s="32">
      <c r="A27" s="40" t="n">
        <v>21</v>
      </c>
      <c r="B27" s="40" t="inlineStr">
        <is>
          <t>FR-ES-004</t>
        </is>
      </c>
      <c r="C27" s="40" t="inlineStr">
        <is>
          <t>ES</t>
        </is>
      </c>
      <c r="D27" s="41" t="inlineStr">
        <is>
          <t>도면관리</t>
        </is>
      </c>
      <c r="E27" s="45" t="inlineStr">
        <is>
          <t>CAD 블록/외부참조 자동 인식</t>
        </is>
      </c>
      <c r="F27" s="45" t="inlineStr">
        <is>
          <t>CAD 도면 내 블록/외부참조 자동 인식하여 개소 정보 추출</t>
        </is>
      </c>
      <c r="G27" s="42" t="inlineStr">
        <is>
          <t>도면 뷰어 &gt; 도면세트 선택기</t>
        </is>
      </c>
      <c r="H27" s="44" t="inlineStr">
        <is>
          <t>상</t>
        </is>
      </c>
      <c r="I27" s="41" t="inlineStr">
        <is>
          <t>수용</t>
        </is>
      </c>
      <c r="J27" s="40" t="inlineStr">
        <is>
          <t>P2</t>
        </is>
      </c>
      <c r="K27" s="51" t="inlineStr">
        <is>
          <t>최상</t>
        </is>
      </c>
      <c r="L27" s="45" t="inlineStr">
        <is>
          <t>AN11-2 핵심#2(4명)</t>
        </is>
      </c>
    </row>
    <row r="28" ht="15" customHeight="1" s="32">
      <c r="A28" s="46" t="n">
        <v>22</v>
      </c>
      <c r="B28" s="46" t="inlineStr">
        <is>
          <t>FR-ES-005</t>
        </is>
      </c>
      <c r="C28" s="46" t="inlineStr">
        <is>
          <t>ES</t>
        </is>
      </c>
      <c r="D28" s="47" t="inlineStr">
        <is>
          <t>견적설계</t>
        </is>
      </c>
      <c r="E28" s="48" t="inlineStr">
        <is>
          <t>도면 기반 개소별 제품 매핑</t>
        </is>
      </c>
      <c r="F28" s="48" t="inlineStr">
        <is>
          <t>도면 개소에 판매 제품 매핑</t>
        </is>
      </c>
      <c r="G28" s="48" t="inlineStr">
        <is>
          <t>견적설계 &gt; 설정 탭</t>
        </is>
      </c>
      <c r="H28" s="50" t="inlineStr">
        <is>
          <t>중</t>
        </is>
      </c>
      <c r="I28" s="47" t="inlineStr">
        <is>
          <t>수용</t>
        </is>
      </c>
      <c r="J28" s="46" t="inlineStr">
        <is>
          <t>P2</t>
        </is>
      </c>
      <c r="K28" s="44" t="inlineStr">
        <is>
          <t>상</t>
        </is>
      </c>
      <c r="L28" s="48" t="inlineStr">
        <is>
          <t>개발계획서</t>
        </is>
      </c>
    </row>
    <row r="29" ht="15" customHeight="1" s="32">
      <c r="A29" s="40" t="n">
        <v>23</v>
      </c>
      <c r="B29" s="40" t="inlineStr">
        <is>
          <t>FR-ES-006</t>
        </is>
      </c>
      <c r="C29" s="40" t="inlineStr">
        <is>
          <t>ES</t>
        </is>
      </c>
      <c r="D29" s="41" t="inlineStr">
        <is>
          <t>견적설계</t>
        </is>
      </c>
      <c r="E29" s="42" t="inlineStr">
        <is>
          <t>개소별 치수 입력</t>
        </is>
      </c>
      <c r="F29" s="42" t="inlineStr">
        <is>
          <t>각 개소별 폭, 높이 등 치수 입력/관리</t>
        </is>
      </c>
      <c r="G29" s="42" t="inlineStr">
        <is>
          <t>견적설계 &gt; 계산 탭</t>
        </is>
      </c>
      <c r="H29" s="50" t="inlineStr">
        <is>
          <t>중</t>
        </is>
      </c>
      <c r="I29" s="41" t="inlineStr">
        <is>
          <t>수용</t>
        </is>
      </c>
      <c r="J29" s="40" t="inlineStr">
        <is>
          <t>P2</t>
        </is>
      </c>
      <c r="K29" s="44" t="inlineStr">
        <is>
          <t>상</t>
        </is>
      </c>
      <c r="L29" s="42" t="inlineStr">
        <is>
          <t>개발계획서</t>
        </is>
      </c>
    </row>
    <row r="30" ht="15" customHeight="1" s="32">
      <c r="A30" s="46" t="n">
        <v>24</v>
      </c>
      <c r="B30" s="46" t="inlineStr">
        <is>
          <t>FR-ES-007</t>
        </is>
      </c>
      <c r="C30" s="46" t="inlineStr">
        <is>
          <t>ES</t>
        </is>
      </c>
      <c r="D30" s="47" t="inlineStr">
        <is>
          <t>견적설계</t>
        </is>
      </c>
      <c r="E30" s="48" t="inlineStr">
        <is>
          <t>제품-BOM 연동 자재 구성 자동 반영</t>
        </is>
      </c>
      <c r="F30" s="48" t="inlineStr">
        <is>
          <t>제품 BOM 기반 개소별 자재 구성 자동 반영</t>
        </is>
      </c>
      <c r="G30" s="48" t="inlineStr">
        <is>
          <t>견적설계 &gt; 계산 탭</t>
        </is>
      </c>
      <c r="H30" s="44" t="inlineStr">
        <is>
          <t>상</t>
        </is>
      </c>
      <c r="I30" s="47" t="inlineStr">
        <is>
          <t>수용</t>
        </is>
      </c>
      <c r="J30" s="46" t="inlineStr">
        <is>
          <t>P2</t>
        </is>
      </c>
      <c r="K30" s="51" t="inlineStr">
        <is>
          <t>최상</t>
        </is>
      </c>
      <c r="L30" s="48" t="inlineStr">
        <is>
          <t>개발계획서 §3.2②</t>
        </is>
      </c>
    </row>
    <row r="31" ht="15" customHeight="1" s="32">
      <c r="A31" s="40" t="n">
        <v>25</v>
      </c>
      <c r="B31" s="40" t="inlineStr">
        <is>
          <t>FR-ES-008</t>
        </is>
      </c>
      <c r="C31" s="40" t="inlineStr">
        <is>
          <t>ES</t>
        </is>
      </c>
      <c r="D31" s="41" t="inlineStr">
        <is>
          <t>견적설계</t>
        </is>
      </c>
      <c r="E31" s="42" t="inlineStr">
        <is>
          <t>롤방충망 자동산출</t>
        </is>
      </c>
      <c r="F31" s="42" t="inlineStr">
        <is>
          <t>롤방충망 제품의 규격·수량·단가 자동 산출</t>
        </is>
      </c>
      <c r="G31" s="42" t="inlineStr">
        <is>
          <t>견적설계 &gt; 계산 탭</t>
        </is>
      </c>
      <c r="H31" s="44" t="inlineStr">
        <is>
          <t>상</t>
        </is>
      </c>
      <c r="I31" s="41" t="inlineStr">
        <is>
          <t>수용</t>
        </is>
      </c>
      <c r="J31" s="40" t="inlineStr">
        <is>
          <t>P2</t>
        </is>
      </c>
      <c r="K31" s="51" t="inlineStr">
        <is>
          <t>최상</t>
        </is>
      </c>
      <c r="L31" s="45" t="inlineStr">
        <is>
          <t>AN11-2 핵심#1(6명 전원)</t>
        </is>
      </c>
    </row>
    <row r="32" ht="15" customHeight="1" s="32">
      <c r="A32" s="46" t="n">
        <v>26</v>
      </c>
      <c r="B32" s="46" t="inlineStr">
        <is>
          <t>FR-ES-009</t>
        </is>
      </c>
      <c r="C32" s="46" t="inlineStr">
        <is>
          <t>ES</t>
        </is>
      </c>
      <c r="D32" s="47" t="inlineStr">
        <is>
          <t>견적설계</t>
        </is>
      </c>
      <c r="E32" s="48" t="inlineStr">
        <is>
          <t>미서기 보강 자동화</t>
        </is>
      </c>
      <c r="F32" s="48" t="inlineStr">
        <is>
          <t>미서기 창호의 보강재 적용 규칙 기반 자동화</t>
        </is>
      </c>
      <c r="G32" s="48" t="inlineStr">
        <is>
          <t>견적설계 &gt; 계산 탭</t>
        </is>
      </c>
      <c r="H32" s="44" t="inlineStr">
        <is>
          <t>상</t>
        </is>
      </c>
      <c r="I32" s="47" t="inlineStr">
        <is>
          <t>수용</t>
        </is>
      </c>
      <c r="J32" s="46" t="inlineStr">
        <is>
          <t>P2</t>
        </is>
      </c>
      <c r="K32" s="51" t="inlineStr">
        <is>
          <t>최상</t>
        </is>
      </c>
      <c r="L32" s="49" t="inlineStr">
        <is>
          <t>AN11-2 핵심#4(3명)</t>
        </is>
      </c>
    </row>
    <row r="33" ht="15" customHeight="1" s="32">
      <c r="A33" s="40" t="n">
        <v>27</v>
      </c>
      <c r="B33" s="40" t="inlineStr">
        <is>
          <t>FR-ES-010</t>
        </is>
      </c>
      <c r="C33" s="40" t="inlineStr">
        <is>
          <t>ES</t>
        </is>
      </c>
      <c r="D33" s="41" t="inlineStr">
        <is>
          <t>견적설계</t>
        </is>
      </c>
      <c r="E33" s="42" t="inlineStr">
        <is>
          <t>구조검토 자동화</t>
        </is>
      </c>
      <c r="F33" s="42" t="inlineStr">
        <is>
          <t>풍하중 등 구조검토 자동 수행, 보강재 적정성 검증</t>
        </is>
      </c>
      <c r="G33" s="42" t="inlineStr">
        <is>
          <t>견적설계 &gt; 계산 탭</t>
        </is>
      </c>
      <c r="H33" s="44" t="inlineStr">
        <is>
          <t>상</t>
        </is>
      </c>
      <c r="I33" s="41" t="inlineStr">
        <is>
          <t>수용</t>
        </is>
      </c>
      <c r="J33" s="40" t="inlineStr">
        <is>
          <t>P2</t>
        </is>
      </c>
      <c r="K33" s="44" t="inlineStr">
        <is>
          <t>상</t>
        </is>
      </c>
      <c r="L33" s="45" t="inlineStr">
        <is>
          <t>AN11-2 핵심#6(2명)</t>
        </is>
      </c>
    </row>
    <row r="34" ht="15" customHeight="1" s="32">
      <c r="A34" s="46" t="n">
        <v>28</v>
      </c>
      <c r="B34" s="46" t="inlineStr">
        <is>
          <t>FR-ES-011</t>
        </is>
      </c>
      <c r="C34" s="46" t="inlineStr">
        <is>
          <t>ES</t>
        </is>
      </c>
      <c r="D34" s="47" t="inlineStr">
        <is>
          <t>견적설계</t>
        </is>
      </c>
      <c r="E34" s="48" t="inlineStr">
        <is>
          <t>창호부호/수량 자동입력</t>
        </is>
      </c>
      <c r="F34" s="48" t="inlineStr">
        <is>
          <t>도면에서 인식된 창호 부호와 수량 자동 입력</t>
        </is>
      </c>
      <c r="G34" s="48" t="inlineStr">
        <is>
          <t>견적설계 &gt; 설정 탭</t>
        </is>
      </c>
      <c r="H34" s="50" t="inlineStr">
        <is>
          <t>중</t>
        </is>
      </c>
      <c r="I34" s="47" t="inlineStr">
        <is>
          <t>수용</t>
        </is>
      </c>
      <c r="J34" s="46" t="inlineStr">
        <is>
          <t>P2</t>
        </is>
      </c>
      <c r="K34" s="44" t="inlineStr">
        <is>
          <t>상</t>
        </is>
      </c>
      <c r="L34" s="49" t="inlineStr">
        <is>
          <t>AN11-2 핵심#7(2명)</t>
        </is>
      </c>
    </row>
    <row r="35" ht="15" customHeight="1" s="32">
      <c r="A35" s="40" t="n">
        <v>29</v>
      </c>
      <c r="B35" s="40" t="inlineStr">
        <is>
          <t>FR-ES-012</t>
        </is>
      </c>
      <c r="C35" s="40" t="inlineStr">
        <is>
          <t>ES</t>
        </is>
      </c>
      <c r="D35" s="41" t="inlineStr">
        <is>
          <t>견적설계</t>
        </is>
      </c>
      <c r="E35" s="42" t="inlineStr">
        <is>
          <t>교실출입문/갤러리도어 설계</t>
        </is>
      </c>
      <c r="F35" s="42" t="inlineStr">
        <is>
          <t>특수 제품의 견적 설계 지원</t>
        </is>
      </c>
      <c r="G35" s="42" t="inlineStr">
        <is>
          <t>견적설계 &gt; 설정 탭</t>
        </is>
      </c>
      <c r="H35" s="50" t="inlineStr">
        <is>
          <t>중</t>
        </is>
      </c>
      <c r="I35" s="41" t="inlineStr">
        <is>
          <t>수용</t>
        </is>
      </c>
      <c r="J35" s="40" t="inlineStr">
        <is>
          <t>P2</t>
        </is>
      </c>
      <c r="K35" s="41" t="inlineStr">
        <is>
          <t>중</t>
        </is>
      </c>
      <c r="L35" s="45" t="inlineStr">
        <is>
          <t>AN11-2 핵심#8(2명)</t>
        </is>
      </c>
    </row>
    <row r="36" ht="15" customHeight="1" s="32">
      <c r="A36" s="46" t="n">
        <v>30</v>
      </c>
      <c r="B36" s="46" t="inlineStr">
        <is>
          <t>FR-ES-013</t>
        </is>
      </c>
      <c r="C36" s="46" t="inlineStr">
        <is>
          <t>ES</t>
        </is>
      </c>
      <c r="D36" s="47" t="inlineStr">
        <is>
          <t>견적설계</t>
        </is>
      </c>
      <c r="E36" s="48" t="inlineStr">
        <is>
          <t>트랜섬절단 자동계산</t>
        </is>
      </c>
      <c r="F36" s="48" t="inlineStr">
        <is>
          <t>트랜섬(가로대) 절단 치수 자동 계산</t>
        </is>
      </c>
      <c r="G36" s="48" t="inlineStr">
        <is>
          <t>견적설계 &gt; 계산 탭</t>
        </is>
      </c>
      <c r="H36" s="50" t="inlineStr">
        <is>
          <t>중</t>
        </is>
      </c>
      <c r="I36" s="47" t="inlineStr">
        <is>
          <t>수용</t>
        </is>
      </c>
      <c r="J36" s="46" t="inlineStr">
        <is>
          <t>P2</t>
        </is>
      </c>
      <c r="K36" s="44" t="inlineStr">
        <is>
          <t>상</t>
        </is>
      </c>
      <c r="L36" s="49" t="inlineStr">
        <is>
          <t>AN11-2 핵심#10(2명)</t>
        </is>
      </c>
    </row>
    <row r="37" ht="15" customHeight="1" s="32">
      <c r="A37" s="40" t="n">
        <v>31</v>
      </c>
      <c r="B37" s="40" t="inlineStr">
        <is>
          <t>FR-ES-014</t>
        </is>
      </c>
      <c r="C37" s="40" t="inlineStr">
        <is>
          <t>ES</t>
        </is>
      </c>
      <c r="D37" s="41" t="inlineStr">
        <is>
          <t>견적설계</t>
        </is>
      </c>
      <c r="E37" s="42" t="inlineStr">
        <is>
          <t>복수개체 일괄변경</t>
        </is>
      </c>
      <c r="F37" s="42" t="inlineStr">
        <is>
          <t>동일 조건 여러 개소 선택하여 속성 일괄 변경</t>
        </is>
      </c>
      <c r="G37" s="42" t="inlineStr">
        <is>
          <t>견적설계 &gt; 설정/계산 탭</t>
        </is>
      </c>
      <c r="H37" s="50" t="inlineStr">
        <is>
          <t>중</t>
        </is>
      </c>
      <c r="I37" s="41" t="inlineStr">
        <is>
          <t>수용</t>
        </is>
      </c>
      <c r="J37" s="40" t="inlineStr">
        <is>
          <t>P2</t>
        </is>
      </c>
      <c r="K37" s="44" t="inlineStr">
        <is>
          <t>상</t>
        </is>
      </c>
      <c r="L37" s="45" t="inlineStr">
        <is>
          <t>AN11-2 핵심#12(2명)</t>
        </is>
      </c>
    </row>
    <row r="38" ht="15" customHeight="1" s="32">
      <c r="A38" s="46" t="n">
        <v>32</v>
      </c>
      <c r="B38" s="46" t="inlineStr">
        <is>
          <t>FR-ES-015</t>
        </is>
      </c>
      <c r="C38" s="46" t="inlineStr">
        <is>
          <t>ES</t>
        </is>
      </c>
      <c r="D38" s="47" t="inlineStr">
        <is>
          <t>견적설계</t>
        </is>
      </c>
      <c r="E38" s="48" t="inlineStr">
        <is>
          <t>견적서 수정 편의성 개선</t>
        </is>
      </c>
      <c r="F38" s="48" t="inlineStr">
        <is>
          <t>견적서 수정 시 변경 항목만 효율적으로 수정</t>
        </is>
      </c>
      <c r="G38" s="48" t="inlineStr">
        <is>
          <t>견적설계 &gt; 견적서 탭</t>
        </is>
      </c>
      <c r="H38" s="50" t="inlineStr">
        <is>
          <t>중</t>
        </is>
      </c>
      <c r="I38" s="47" t="inlineStr">
        <is>
          <t>수용</t>
        </is>
      </c>
      <c r="J38" s="46" t="inlineStr">
        <is>
          <t>P2</t>
        </is>
      </c>
      <c r="K38" s="44" t="inlineStr">
        <is>
          <t>상</t>
        </is>
      </c>
      <c r="L38" s="49" t="inlineStr">
        <is>
          <t>AN11-2 핵심#11(2명)</t>
        </is>
      </c>
    </row>
    <row r="39" ht="15" customHeight="1" s="32">
      <c r="A39" s="40" t="n">
        <v>33</v>
      </c>
      <c r="B39" s="40" t="inlineStr">
        <is>
          <t>FR-ES-016</t>
        </is>
      </c>
      <c r="C39" s="40" t="inlineStr">
        <is>
          <t>ES</t>
        </is>
      </c>
      <c r="D39" s="41" t="inlineStr">
        <is>
          <t>견적서</t>
        </is>
      </c>
      <c r="E39" s="42" t="inlineStr">
        <is>
          <t>자재비·시공비·기타비용 합산 및 견적서 산출</t>
        </is>
      </c>
      <c r="F39" s="45" t="inlineStr">
        <is>
          <t>BOM 기반 비용 합산하여 견적서 자동 산출</t>
        </is>
      </c>
      <c r="G39" s="42" t="inlineStr">
        <is>
          <t>견적설계 &gt; 견적서 탭/상세</t>
        </is>
      </c>
      <c r="H39" s="50" t="inlineStr">
        <is>
          <t>중</t>
        </is>
      </c>
      <c r="I39" s="41" t="inlineStr">
        <is>
          <t>수용</t>
        </is>
      </c>
      <c r="J39" s="40" t="inlineStr">
        <is>
          <t>P2</t>
        </is>
      </c>
      <c r="K39" s="51" t="inlineStr">
        <is>
          <t>최상</t>
        </is>
      </c>
      <c r="L39" s="42" t="inlineStr">
        <is>
          <t>개발계획서 §3.2②</t>
        </is>
      </c>
    </row>
    <row r="40" ht="15" customHeight="1" s="32">
      <c r="A40" s="46" t="n">
        <v>34</v>
      </c>
      <c r="B40" s="46" t="inlineStr">
        <is>
          <t>FR-ES-017</t>
        </is>
      </c>
      <c r="C40" s="46" t="inlineStr">
        <is>
          <t>ES</t>
        </is>
      </c>
      <c r="D40" s="47" t="inlineStr">
        <is>
          <t>견적서</t>
        </is>
      </c>
      <c r="E40" s="48" t="inlineStr">
        <is>
          <t>실행율 계산 정확도 향상</t>
        </is>
      </c>
      <c r="F40" s="48" t="inlineStr">
        <is>
          <t>견적 대비 실행율(원가율) 계산 정확도 개선</t>
        </is>
      </c>
      <c r="G40" s="48" t="inlineStr">
        <is>
          <t>견적설계 &gt; 예산 탭</t>
        </is>
      </c>
      <c r="H40" s="50" t="inlineStr">
        <is>
          <t>중</t>
        </is>
      </c>
      <c r="I40" s="47" t="inlineStr">
        <is>
          <t>수용</t>
        </is>
      </c>
      <c r="J40" s="46" t="inlineStr">
        <is>
          <t>P2</t>
        </is>
      </c>
      <c r="K40" s="51" t="inlineStr">
        <is>
          <t>최상</t>
        </is>
      </c>
      <c r="L40" s="49" t="inlineStr">
        <is>
          <t>AN11-2 핵심#5(3명)</t>
        </is>
      </c>
    </row>
    <row r="41" ht="15" customHeight="1" s="32">
      <c r="A41" s="40" t="n">
        <v>35</v>
      </c>
      <c r="B41" s="40" t="inlineStr">
        <is>
          <t>FR-ES-018</t>
        </is>
      </c>
      <c r="C41" s="40" t="inlineStr">
        <is>
          <t>ES</t>
        </is>
      </c>
      <c r="D41" s="41" t="inlineStr">
        <is>
          <t>실행예산</t>
        </is>
      </c>
      <c r="E41" s="42" t="inlineStr">
        <is>
          <t>실행예산 항목별 비용 입력·산출</t>
        </is>
      </c>
      <c r="F41" s="42" t="inlineStr">
        <is>
          <t>별도비, 제작비, 시공비, 수수료 등 항목별 실행예산 입력·산출</t>
        </is>
      </c>
      <c r="G41" s="42" t="inlineStr">
        <is>
          <t>실행예산 &gt; 각 시트</t>
        </is>
      </c>
      <c r="H41" s="50" t="inlineStr">
        <is>
          <t>중</t>
        </is>
      </c>
      <c r="I41" s="41" t="inlineStr">
        <is>
          <t>수용</t>
        </is>
      </c>
      <c r="J41" s="40" t="inlineStr">
        <is>
          <t>P2</t>
        </is>
      </c>
      <c r="K41" s="44" t="inlineStr">
        <is>
          <t>상</t>
        </is>
      </c>
      <c r="L41" s="42" t="inlineStr">
        <is>
          <t>개발계획서 §3.2②</t>
        </is>
      </c>
    </row>
    <row r="42" ht="15" customHeight="1" s="32">
      <c r="A42" s="46" t="n">
        <v>36</v>
      </c>
      <c r="B42" s="46" t="inlineStr">
        <is>
          <t>FR-ES-019</t>
        </is>
      </c>
      <c r="C42" s="46" t="inlineStr">
        <is>
          <t>ES</t>
        </is>
      </c>
      <c r="D42" s="47" t="inlineStr">
        <is>
          <t>견적서</t>
        </is>
      </c>
      <c r="E42" s="48" t="inlineStr">
        <is>
          <t>견적서 출력 (발주처 제출용)</t>
        </is>
      </c>
      <c r="F42" s="48" t="inlineStr">
        <is>
          <t>발주처 제출용 견적서 및 견적내역서 출력</t>
        </is>
      </c>
      <c r="G42" s="48" t="inlineStr">
        <is>
          <t>문서 출력 &gt; 식별번호표/환산표/중량표</t>
        </is>
      </c>
      <c r="H42" s="50" t="inlineStr">
        <is>
          <t>중</t>
        </is>
      </c>
      <c r="I42" s="47" t="inlineStr">
        <is>
          <t>수용</t>
        </is>
      </c>
      <c r="J42" s="46" t="inlineStr">
        <is>
          <t>P2</t>
        </is>
      </c>
      <c r="K42" s="44" t="inlineStr">
        <is>
          <t>상</t>
        </is>
      </c>
      <c r="L42" s="48" t="inlineStr">
        <is>
          <t>개발계획서</t>
        </is>
      </c>
    </row>
    <row r="43" ht="15" customHeight="1" s="32">
      <c r="A43" s="40" t="n">
        <v>37</v>
      </c>
      <c r="B43" s="40" t="inlineStr">
        <is>
          <t>FR-ES-020</t>
        </is>
      </c>
      <c r="C43" s="40" t="inlineStr">
        <is>
          <t>ES</t>
        </is>
      </c>
      <c r="D43" s="41" t="inlineStr">
        <is>
          <t>실행예산</t>
        </is>
      </c>
      <c r="E43" s="42" t="inlineStr">
        <is>
          <t>실행예산 총괄 분석 (원가율·수익성 검토)</t>
        </is>
      </c>
      <c r="F43" s="45" t="inlineStr">
        <is>
          <t>1차 실행예산 기반 원가율·수익성 총괄 분석</t>
        </is>
      </c>
      <c r="G43" s="42" t="inlineStr">
        <is>
          <t>실행예산 &gt; 각 시트</t>
        </is>
      </c>
      <c r="H43" s="50" t="inlineStr">
        <is>
          <t>중</t>
        </is>
      </c>
      <c r="I43" s="41" t="inlineStr">
        <is>
          <t>수용</t>
        </is>
      </c>
      <c r="J43" s="40" t="inlineStr">
        <is>
          <t>P2</t>
        </is>
      </c>
      <c r="K43" s="44" t="inlineStr">
        <is>
          <t>상</t>
        </is>
      </c>
      <c r="L43" s="42" t="inlineStr">
        <is>
          <t>개발계획서</t>
        </is>
      </c>
    </row>
    <row r="44" ht="15" customHeight="1" s="32">
      <c r="A44" s="46" t="n">
        <v>38</v>
      </c>
      <c r="B44" s="46" t="inlineStr">
        <is>
          <t>FR-ES-021</t>
        </is>
      </c>
      <c r="C44" s="46" t="inlineStr">
        <is>
          <t>ES</t>
        </is>
      </c>
      <c r="D44" s="47" t="inlineStr">
        <is>
          <t>견적설계</t>
        </is>
      </c>
      <c r="E44" s="48" t="inlineStr">
        <is>
          <t>식별번호 매칭 부호 중량 합산 오류 수정</t>
        </is>
      </c>
      <c r="F44" s="48" t="inlineStr">
        <is>
          <t>현행 시스템 식별번호 매칭/중량 합산 오류 수정</t>
        </is>
      </c>
      <c r="G44" s="48" t="inlineStr">
        <is>
          <t>견적설계 &gt; 계산 탭</t>
        </is>
      </c>
      <c r="H44" s="50" t="inlineStr">
        <is>
          <t>중</t>
        </is>
      </c>
      <c r="I44" s="47" t="inlineStr">
        <is>
          <t>수용</t>
        </is>
      </c>
      <c r="J44" s="46" t="inlineStr">
        <is>
          <t>P2</t>
        </is>
      </c>
      <c r="K44" s="51" t="inlineStr">
        <is>
          <t>최상</t>
        </is>
      </c>
      <c r="L44" s="49" t="inlineStr">
        <is>
          <t>AN11-2 핵심#13</t>
        </is>
      </c>
    </row>
    <row r="45" ht="21.75" customHeight="1" s="32">
      <c r="A45" s="37" t="inlineStr">
        <is>
          <t>③ 발주관리 (OM) — 10건</t>
        </is>
      </c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9" t="n"/>
    </row>
    <row r="46" ht="15" customHeight="1" s="32">
      <c r="A46" s="40" t="n">
        <v>39</v>
      </c>
      <c r="B46" s="40" t="inlineStr">
        <is>
          <t>FR-OM-001</t>
        </is>
      </c>
      <c r="C46" s="40" t="inlineStr">
        <is>
          <t>OM</t>
        </is>
      </c>
      <c r="D46" s="41" t="inlineStr">
        <is>
          <t>계약관리</t>
        </is>
      </c>
      <c r="E46" s="42" t="inlineStr">
        <is>
          <t>견적 기반 계약 처리 및 계약 정보 등록</t>
        </is>
      </c>
      <c r="F46" s="42" t="inlineStr">
        <is>
          <t>견적 확정 후 계약 정보 등록/관리</t>
        </is>
      </c>
      <c r="G46" s="42" t="inlineStr">
        <is>
          <t>계약관리 &gt; 계약현황 목록/상세</t>
        </is>
      </c>
      <c r="H46" s="50" t="inlineStr">
        <is>
          <t>중</t>
        </is>
      </c>
      <c r="I46" s="41" t="inlineStr">
        <is>
          <t>수용</t>
        </is>
      </c>
      <c r="J46" s="40" t="inlineStr">
        <is>
          <t>P2</t>
        </is>
      </c>
      <c r="K46" s="44" t="inlineStr">
        <is>
          <t>상</t>
        </is>
      </c>
      <c r="L46" s="42" t="inlineStr">
        <is>
          <t>개발계획서 §3.2③</t>
        </is>
      </c>
    </row>
    <row r="47" ht="15" customHeight="1" s="32">
      <c r="A47" s="46" t="n">
        <v>40</v>
      </c>
      <c r="B47" s="46" t="inlineStr">
        <is>
          <t>FR-OM-002</t>
        </is>
      </c>
      <c r="C47" s="46" t="inlineStr">
        <is>
          <t>OM</t>
        </is>
      </c>
      <c r="D47" s="47" t="inlineStr">
        <is>
          <t>계약관리</t>
        </is>
      </c>
      <c r="E47" s="48" t="inlineStr">
        <is>
          <t>색상 및 납품 옵션 사양 확정</t>
        </is>
      </c>
      <c r="F47" s="48" t="inlineStr">
        <is>
          <t>계약 시 색상, 코팅, 납품 옵션 등 사양 확정</t>
        </is>
      </c>
      <c r="G47" s="48" t="inlineStr">
        <is>
          <t>계약관리 &gt; 계약 상세</t>
        </is>
      </c>
      <c r="H47" s="43" t="inlineStr">
        <is>
          <t>하</t>
        </is>
      </c>
      <c r="I47" s="47" t="inlineStr">
        <is>
          <t>수용</t>
        </is>
      </c>
      <c r="J47" s="46" t="inlineStr">
        <is>
          <t>P2</t>
        </is>
      </c>
      <c r="K47" s="47" t="inlineStr">
        <is>
          <t>중</t>
        </is>
      </c>
      <c r="L47" s="48" t="inlineStr">
        <is>
          <t>개발계획서</t>
        </is>
      </c>
    </row>
    <row r="48" ht="15" customHeight="1" s="32">
      <c r="A48" s="40" t="n">
        <v>41</v>
      </c>
      <c r="B48" s="40" t="inlineStr">
        <is>
          <t>FR-OM-003</t>
        </is>
      </c>
      <c r="C48" s="40" t="inlineStr">
        <is>
          <t>OM</t>
        </is>
      </c>
      <c r="D48" s="41" t="inlineStr">
        <is>
          <t>계약관리</t>
        </is>
      </c>
      <c r="E48" s="42" t="inlineStr">
        <is>
          <t>계약 이력 및 상태 관리</t>
        </is>
      </c>
      <c r="F48" s="42" t="inlineStr">
        <is>
          <t>계약 진행 이력과 상태 관리</t>
        </is>
      </c>
      <c r="G48" s="42" t="inlineStr">
        <is>
          <t>계약관리 &gt; 대시보드/목록</t>
        </is>
      </c>
      <c r="H48" s="43" t="inlineStr">
        <is>
          <t>하</t>
        </is>
      </c>
      <c r="I48" s="41" t="inlineStr">
        <is>
          <t>수용</t>
        </is>
      </c>
      <c r="J48" s="40" t="inlineStr">
        <is>
          <t>P2</t>
        </is>
      </c>
      <c r="K48" s="41" t="inlineStr">
        <is>
          <t>중</t>
        </is>
      </c>
      <c r="L48" s="42" t="inlineStr">
        <is>
          <t>개발계획서</t>
        </is>
      </c>
    </row>
    <row r="49" ht="15" customHeight="1" s="32">
      <c r="A49" s="46" t="n">
        <v>42</v>
      </c>
      <c r="B49" s="46" t="inlineStr">
        <is>
          <t>FR-OM-004</t>
        </is>
      </c>
      <c r="C49" s="46" t="inlineStr">
        <is>
          <t>OM</t>
        </is>
      </c>
      <c r="D49" s="47" t="inlineStr">
        <is>
          <t>발주관리</t>
        </is>
      </c>
      <c r="E49" s="48" t="inlineStr">
        <is>
          <t>원자재 정척 기준 최적 절단 조합 자동 계산</t>
        </is>
      </c>
      <c r="F49" s="49" t="inlineStr">
        <is>
          <t>loss율 최소화 최적 절단 조합 자동 계산</t>
        </is>
      </c>
      <c r="G49" s="48" t="inlineStr">
        <is>
          <t>발주 설정 &gt; 절단 계획</t>
        </is>
      </c>
      <c r="H49" s="44" t="inlineStr">
        <is>
          <t>상</t>
        </is>
      </c>
      <c r="I49" s="47" t="inlineStr">
        <is>
          <t>수용</t>
        </is>
      </c>
      <c r="J49" s="46" t="inlineStr">
        <is>
          <t>P2</t>
        </is>
      </c>
      <c r="K49" s="51" t="inlineStr">
        <is>
          <t>최상</t>
        </is>
      </c>
      <c r="L49" s="49" t="inlineStr">
        <is>
          <t>AN11-2, 개발계획서</t>
        </is>
      </c>
    </row>
    <row r="50" ht="15" customHeight="1" s="32">
      <c r="A50" s="40" t="n">
        <v>43</v>
      </c>
      <c r="B50" s="40" t="inlineStr">
        <is>
          <t>FR-OM-005</t>
        </is>
      </c>
      <c r="C50" s="40" t="inlineStr">
        <is>
          <t>OM</t>
        </is>
      </c>
      <c r="D50" s="41" t="inlineStr">
        <is>
          <t>발주관리</t>
        </is>
      </c>
      <c r="E50" s="42" t="inlineStr">
        <is>
          <t>각도 절단 공차 적용</t>
        </is>
      </c>
      <c r="F50" s="42" t="inlineStr">
        <is>
          <t>절단 시 각도 공차 반영한 절단 계획</t>
        </is>
      </c>
      <c r="G50" s="42" t="inlineStr">
        <is>
          <t>발주 설정 &gt; 절단 계획</t>
        </is>
      </c>
      <c r="H50" s="50" t="inlineStr">
        <is>
          <t>중</t>
        </is>
      </c>
      <c r="I50" s="41" t="inlineStr">
        <is>
          <t>수용</t>
        </is>
      </c>
      <c r="J50" s="40" t="inlineStr">
        <is>
          <t>P2</t>
        </is>
      </c>
      <c r="K50" s="44" t="inlineStr">
        <is>
          <t>상</t>
        </is>
      </c>
      <c r="L50" s="45" t="inlineStr">
        <is>
          <t>AN11-2</t>
        </is>
      </c>
    </row>
    <row r="51" ht="15" customHeight="1" s="32">
      <c r="A51" s="46" t="n">
        <v>44</v>
      </c>
      <c r="B51" s="46" t="inlineStr">
        <is>
          <t>FR-OM-006</t>
        </is>
      </c>
      <c r="C51" s="46" t="inlineStr">
        <is>
          <t>OM</t>
        </is>
      </c>
      <c r="D51" s="47" t="inlineStr">
        <is>
          <t>발주관리</t>
        </is>
      </c>
      <c r="E51" s="48" t="inlineStr">
        <is>
          <t>거래처별 1차 발주서 출력</t>
        </is>
      </c>
      <c r="F51" s="48" t="inlineStr">
        <is>
          <t>거래처별 자재 묶어 1차 발주서 자동 생성/출력</t>
        </is>
      </c>
      <c r="G51" s="48" t="inlineStr">
        <is>
          <t>발주서 관리 &gt; 발주서 목록/상세</t>
        </is>
      </c>
      <c r="H51" s="50" t="inlineStr">
        <is>
          <t>중</t>
        </is>
      </c>
      <c r="I51" s="47" t="inlineStr">
        <is>
          <t>수용</t>
        </is>
      </c>
      <c r="J51" s="46" t="inlineStr">
        <is>
          <t>P2</t>
        </is>
      </c>
      <c r="K51" s="44" t="inlineStr">
        <is>
          <t>상</t>
        </is>
      </c>
      <c r="L51" s="48" t="inlineStr">
        <is>
          <t>개발계획서 §3.2③</t>
        </is>
      </c>
    </row>
    <row r="52" ht="15" customHeight="1" s="32">
      <c r="A52" s="40" t="n">
        <v>45</v>
      </c>
      <c r="B52" s="40" t="inlineStr">
        <is>
          <t>FR-OM-007</t>
        </is>
      </c>
      <c r="C52" s="40" t="inlineStr">
        <is>
          <t>OM</t>
        </is>
      </c>
      <c r="D52" s="41" t="inlineStr">
        <is>
          <t>발주관리</t>
        </is>
      </c>
      <c r="E52" s="42" t="inlineStr">
        <is>
          <t>발주 승인 워크플로우</t>
        </is>
      </c>
      <c r="F52" s="42" t="inlineStr">
        <is>
          <t>발주서 작성→검토→승인 워크플로우</t>
        </is>
      </c>
      <c r="G52" s="42" t="inlineStr">
        <is>
          <t>발주관리 &gt; 발주 리스트</t>
        </is>
      </c>
      <c r="H52" s="50" t="inlineStr">
        <is>
          <t>중</t>
        </is>
      </c>
      <c r="I52" s="41" t="inlineStr">
        <is>
          <t>수용</t>
        </is>
      </c>
      <c r="J52" s="40" t="inlineStr">
        <is>
          <t>P2</t>
        </is>
      </c>
      <c r="K52" s="44" t="inlineStr">
        <is>
          <t>상</t>
        </is>
      </c>
      <c r="L52" s="42" t="inlineStr">
        <is>
          <t>개발계획서</t>
        </is>
      </c>
    </row>
    <row r="53" ht="15" customHeight="1" s="32">
      <c r="A53" s="46" t="n">
        <v>46</v>
      </c>
      <c r="B53" s="46" t="inlineStr">
        <is>
          <t>FR-OM-008</t>
        </is>
      </c>
      <c r="C53" s="46" t="inlineStr">
        <is>
          <t>OM</t>
        </is>
      </c>
      <c r="D53" s="47" t="inlineStr">
        <is>
          <t>발주관리</t>
        </is>
      </c>
      <c r="E53" s="48" t="inlineStr">
        <is>
          <t>널링지시서 출력</t>
        </is>
      </c>
      <c r="F53" s="48" t="inlineStr">
        <is>
          <t>널링 공정 지시서 자동 생성/출력</t>
        </is>
      </c>
      <c r="G53" s="48" t="inlineStr">
        <is>
          <t>발주 설정 &gt; 공정 설정</t>
        </is>
      </c>
      <c r="H53" s="50" t="inlineStr">
        <is>
          <t>중</t>
        </is>
      </c>
      <c r="I53" s="47" t="inlineStr">
        <is>
          <t>수용</t>
        </is>
      </c>
      <c r="J53" s="46" t="inlineStr">
        <is>
          <t>P2</t>
        </is>
      </c>
      <c r="K53" s="47" t="inlineStr">
        <is>
          <t>중</t>
        </is>
      </c>
      <c r="L53" s="48" t="inlineStr">
        <is>
          <t>개발계획서</t>
        </is>
      </c>
    </row>
    <row r="54" ht="15" customHeight="1" s="32">
      <c r="A54" s="40" t="n">
        <v>47</v>
      </c>
      <c r="B54" s="40" t="inlineStr">
        <is>
          <t>FR-OM-009</t>
        </is>
      </c>
      <c r="C54" s="40" t="inlineStr">
        <is>
          <t>OM</t>
        </is>
      </c>
      <c r="D54" s="41" t="inlineStr">
        <is>
          <t>거래처관리</t>
        </is>
      </c>
      <c r="E54" s="42" t="inlineStr">
        <is>
          <t>거래처 등록·수정·삭제·조회</t>
        </is>
      </c>
      <c r="F54" s="42" t="inlineStr">
        <is>
          <t>거래처 마스터 CRUD, 공정별/원자재별 단가 관리 포함</t>
        </is>
      </c>
      <c r="G54" s="42" t="inlineStr">
        <is>
          <t>거래처관리 &gt; 거래처 목록/상세</t>
        </is>
      </c>
      <c r="H54" s="43" t="inlineStr">
        <is>
          <t>하</t>
        </is>
      </c>
      <c r="I54" s="41" t="inlineStr">
        <is>
          <t>수용</t>
        </is>
      </c>
      <c r="J54" s="40" t="inlineStr">
        <is>
          <t>P2</t>
        </is>
      </c>
      <c r="K54" s="44" t="inlineStr">
        <is>
          <t>상</t>
        </is>
      </c>
      <c r="L54" s="45" t="inlineStr">
        <is>
          <t>AN21 사이트맵, 크로스체크</t>
        </is>
      </c>
    </row>
    <row r="55" ht="15" customHeight="1" s="32">
      <c r="A55" s="46" t="n">
        <v>48</v>
      </c>
      <c r="B55" s="46" t="inlineStr">
        <is>
          <t>FR-OM-010</t>
        </is>
      </c>
      <c r="C55" s="46" t="inlineStr">
        <is>
          <t>OM</t>
        </is>
      </c>
      <c r="D55" s="47" t="inlineStr">
        <is>
          <t>발주관리</t>
        </is>
      </c>
      <c r="E55" s="48" t="inlineStr">
        <is>
          <t>발주 현황 조회 및 재고 현황 관리</t>
        </is>
      </c>
      <c r="F55" s="48" t="inlineStr">
        <is>
          <t>발주 상태 추적, 입고/재고 현황 조회·관리</t>
        </is>
      </c>
      <c r="G55" s="48" t="inlineStr">
        <is>
          <t>발주관리 &gt; 발주현황, 재고현황</t>
        </is>
      </c>
      <c r="H55" s="50" t="inlineStr">
        <is>
          <t>중</t>
        </is>
      </c>
      <c r="I55" s="47" t="inlineStr">
        <is>
          <t>수용</t>
        </is>
      </c>
      <c r="J55" s="46" t="inlineStr">
        <is>
          <t>P2</t>
        </is>
      </c>
      <c r="K55" s="44" t="inlineStr">
        <is>
          <t>상</t>
        </is>
      </c>
      <c r="L55" s="49" t="inlineStr">
        <is>
          <t>AN21 사이트맵, 크로스체크</t>
        </is>
      </c>
    </row>
    <row r="56" ht="21.75" customHeight="1" s="32">
      <c r="A56" s="37" t="inlineStr">
        <is>
          <t>④ 제조관리 (MF) — 10건</t>
        </is>
      </c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9" t="n"/>
    </row>
    <row r="57" ht="15" customHeight="1" s="32">
      <c r="A57" s="40" t="n">
        <v>49</v>
      </c>
      <c r="B57" s="40" t="inlineStr">
        <is>
          <t>FR-MF-001</t>
        </is>
      </c>
      <c r="C57" s="40" t="inlineStr">
        <is>
          <t>MF</t>
        </is>
      </c>
      <c r="D57" s="41" t="inlineStr">
        <is>
          <t>실측연동</t>
        </is>
      </c>
      <c r="E57" s="42" t="inlineStr">
        <is>
          <t>현장실측 데이터 수신 (REST API)</t>
        </is>
      </c>
      <c r="F57" s="42" t="inlineStr">
        <is>
          <t>현장실측 앱에서 전송된 측정 데이터를 REST API로 수신</t>
        </is>
      </c>
      <c r="G57" s="45" t="inlineStr">
        <is>
          <t>API (화면 없음)</t>
        </is>
      </c>
      <c r="H57" s="50" t="inlineStr">
        <is>
          <t>중</t>
        </is>
      </c>
      <c r="I57" s="41" t="inlineStr">
        <is>
          <t>수용</t>
        </is>
      </c>
      <c r="J57" s="40" t="inlineStr">
        <is>
          <t>P2</t>
        </is>
      </c>
      <c r="K57" s="44" t="inlineStr">
        <is>
          <t>상</t>
        </is>
      </c>
      <c r="L57" s="42" t="inlineStr">
        <is>
          <t>개발계획서 §3.2④</t>
        </is>
      </c>
    </row>
    <row r="58" ht="15" customHeight="1" s="32">
      <c r="A58" s="46" t="n">
        <v>50</v>
      </c>
      <c r="B58" s="46" t="inlineStr">
        <is>
          <t>FR-MF-002</t>
        </is>
      </c>
      <c r="C58" s="46" t="inlineStr">
        <is>
          <t>MF</t>
        </is>
      </c>
      <c r="D58" s="47" t="inlineStr">
        <is>
          <t>실측연동</t>
        </is>
      </c>
      <c r="E58" s="48" t="inlineStr">
        <is>
          <t>수신 데이터 검증 및 이상값 알림</t>
        </is>
      </c>
      <c r="F58" s="48" t="inlineStr">
        <is>
          <t>수신 실측 데이터 유효성 검증 및 이상값 알림</t>
        </is>
      </c>
      <c r="G58" s="49" t="inlineStr">
        <is>
          <t>API (화면 없음)</t>
        </is>
      </c>
      <c r="H58" s="50" t="inlineStr">
        <is>
          <t>중</t>
        </is>
      </c>
      <c r="I58" s="47" t="inlineStr">
        <is>
          <t>수용</t>
        </is>
      </c>
      <c r="J58" s="46" t="inlineStr">
        <is>
          <t>P2</t>
        </is>
      </c>
      <c r="K58" s="44" t="inlineStr">
        <is>
          <t>상</t>
        </is>
      </c>
      <c r="L58" s="48" t="inlineStr">
        <is>
          <t>개발계획서</t>
        </is>
      </c>
    </row>
    <row r="59" ht="15" customHeight="1" s="32">
      <c r="A59" s="40" t="n">
        <v>51</v>
      </c>
      <c r="B59" s="40" t="inlineStr">
        <is>
          <t>FR-MF-003</t>
        </is>
      </c>
      <c r="C59" s="40" t="inlineStr">
        <is>
          <t>MF</t>
        </is>
      </c>
      <c r="D59" s="41" t="inlineStr">
        <is>
          <t>제작도</t>
        </is>
      </c>
      <c r="E59" s="42" t="inlineStr">
        <is>
          <t>정형 제품 제작도 자동 출력</t>
        </is>
      </c>
      <c r="F59" s="45" t="inlineStr">
        <is>
          <t>BOM/실측값 기반 정형 제품 제작도 자동 생성</t>
        </is>
      </c>
      <c r="G59" s="45" t="inlineStr">
        <is>
          <t>(신규 화면)</t>
        </is>
      </c>
      <c r="H59" s="44" t="inlineStr">
        <is>
          <t>상</t>
        </is>
      </c>
      <c r="I59" s="41" t="inlineStr">
        <is>
          <t>수용</t>
        </is>
      </c>
      <c r="J59" s="40" t="inlineStr">
        <is>
          <t>P2</t>
        </is>
      </c>
      <c r="K59" s="44" t="inlineStr">
        <is>
          <t>상</t>
        </is>
      </c>
      <c r="L59" s="42" t="inlineStr">
        <is>
          <t>개발계획서 §3.2④</t>
        </is>
      </c>
    </row>
    <row r="60" ht="15" customHeight="1" s="32">
      <c r="A60" s="46" t="n">
        <v>52</v>
      </c>
      <c r="B60" s="46" t="inlineStr">
        <is>
          <t>FR-MF-004</t>
        </is>
      </c>
      <c r="C60" s="46" t="inlineStr">
        <is>
          <t>MF</t>
        </is>
      </c>
      <c r="D60" s="47" t="inlineStr">
        <is>
          <t>제작도</t>
        </is>
      </c>
      <c r="E60" s="48" t="inlineStr">
        <is>
          <t>비정형 제품 수동 편집기 제공</t>
        </is>
      </c>
      <c r="F60" s="48" t="inlineStr">
        <is>
          <t>비정형 제품 제작도 수동 편집 에디터</t>
        </is>
      </c>
      <c r="G60" s="49" t="inlineStr">
        <is>
          <t>(신규 화면)</t>
        </is>
      </c>
      <c r="H60" s="50" t="inlineStr">
        <is>
          <t>중</t>
        </is>
      </c>
      <c r="I60" s="47" t="inlineStr">
        <is>
          <t>수용</t>
        </is>
      </c>
      <c r="J60" s="46" t="inlineStr">
        <is>
          <t>P2</t>
        </is>
      </c>
      <c r="K60" s="47" t="inlineStr">
        <is>
          <t>중</t>
        </is>
      </c>
      <c r="L60" s="48" t="inlineStr">
        <is>
          <t>개발계획서</t>
        </is>
      </c>
    </row>
    <row r="61" ht="15" customHeight="1" s="32">
      <c r="A61" s="40" t="n">
        <v>53</v>
      </c>
      <c r="B61" s="40" t="inlineStr">
        <is>
          <t>FR-MF-005</t>
        </is>
      </c>
      <c r="C61" s="40" t="inlineStr">
        <is>
          <t>MF</t>
        </is>
      </c>
      <c r="D61" s="40" t="inlineStr">
        <is>
          <t>MES연동</t>
        </is>
      </c>
      <c r="E61" s="45" t="inlineStr">
        <is>
          <t>MES 연동 제작도 데이터 반영</t>
        </is>
      </c>
      <c r="F61" s="45" t="inlineStr">
        <is>
          <t>MES 제조 데이터를 제작도에 반영</t>
        </is>
      </c>
      <c r="G61" s="45" t="inlineStr">
        <is>
          <t>API (화면 없음)</t>
        </is>
      </c>
      <c r="H61" s="50" t="inlineStr">
        <is>
          <t>중</t>
        </is>
      </c>
      <c r="I61" s="41" t="inlineStr">
        <is>
          <t>수용</t>
        </is>
      </c>
      <c r="J61" s="40" t="inlineStr">
        <is>
          <t>P2</t>
        </is>
      </c>
      <c r="K61" s="44" t="inlineStr">
        <is>
          <t>상</t>
        </is>
      </c>
      <c r="L61" s="42" t="inlineStr">
        <is>
          <t>개발계획서 §3.2④</t>
        </is>
      </c>
    </row>
    <row r="62" ht="15" customHeight="1" s="32">
      <c r="A62" s="46" t="n">
        <v>54</v>
      </c>
      <c r="B62" s="46" t="inlineStr">
        <is>
          <t>FR-MF-006</t>
        </is>
      </c>
      <c r="C62" s="46" t="inlineStr">
        <is>
          <t>MF</t>
        </is>
      </c>
      <c r="D62" s="47" t="inlineStr">
        <is>
          <t>절단관리</t>
        </is>
      </c>
      <c r="E62" s="48" t="inlineStr">
        <is>
          <t>실측 기반 최적 절단 조합 재계산</t>
        </is>
      </c>
      <c r="F62" s="48" t="inlineStr">
        <is>
          <t>현장실측값 반영 후 최적 절단 조합 재계산</t>
        </is>
      </c>
      <c r="G62" s="49" t="inlineStr">
        <is>
          <t>(신규 화면)</t>
        </is>
      </c>
      <c r="H62" s="44" t="inlineStr">
        <is>
          <t>상</t>
        </is>
      </c>
      <c r="I62" s="47" t="inlineStr">
        <is>
          <t>수용</t>
        </is>
      </c>
      <c r="J62" s="46" t="inlineStr">
        <is>
          <t>P2</t>
        </is>
      </c>
      <c r="K62" s="51" t="inlineStr">
        <is>
          <t>최상</t>
        </is>
      </c>
      <c r="L62" s="48" t="inlineStr">
        <is>
          <t>개발계획서</t>
        </is>
      </c>
    </row>
    <row r="63" ht="15" customHeight="1" s="32">
      <c r="A63" s="40" t="n">
        <v>55</v>
      </c>
      <c r="B63" s="40" t="inlineStr">
        <is>
          <t>FR-MF-007</t>
        </is>
      </c>
      <c r="C63" s="40" t="inlineStr">
        <is>
          <t>MF</t>
        </is>
      </c>
      <c r="D63" s="41" t="inlineStr">
        <is>
          <t>절단관리</t>
        </is>
      </c>
      <c r="E63" s="42" t="inlineStr">
        <is>
          <t>최종 절단 데이터 산출</t>
        </is>
      </c>
      <c r="F63" s="42" t="inlineStr">
        <is>
          <t>제작도 확정 후 최종 절단 데이터 산출</t>
        </is>
      </c>
      <c r="G63" s="45" t="inlineStr">
        <is>
          <t>(신규 화면)</t>
        </is>
      </c>
      <c r="H63" s="50" t="inlineStr">
        <is>
          <t>중</t>
        </is>
      </c>
      <c r="I63" s="41" t="inlineStr">
        <is>
          <t>수용</t>
        </is>
      </c>
      <c r="J63" s="40" t="inlineStr">
        <is>
          <t>P2</t>
        </is>
      </c>
      <c r="K63" s="44" t="inlineStr">
        <is>
          <t>상</t>
        </is>
      </c>
      <c r="L63" s="42" t="inlineStr">
        <is>
          <t>개발계획서</t>
        </is>
      </c>
    </row>
    <row r="64" ht="15" customHeight="1" s="32">
      <c r="A64" s="46" t="n">
        <v>56</v>
      </c>
      <c r="B64" s="46" t="inlineStr">
        <is>
          <t>FR-MF-008</t>
        </is>
      </c>
      <c r="C64" s="46" t="inlineStr">
        <is>
          <t>MF</t>
        </is>
      </c>
      <c r="D64" s="47" t="inlineStr">
        <is>
          <t>절단관리</t>
        </is>
      </c>
      <c r="E64" s="48" t="inlineStr">
        <is>
          <t>제조 현장용 절단 지시서 출력</t>
        </is>
      </c>
      <c r="F64" s="48" t="inlineStr">
        <is>
          <t>제조 현장 절단 지시서 자동 생성/출력</t>
        </is>
      </c>
      <c r="G64" s="49" t="inlineStr">
        <is>
          <t>(신규 화면)</t>
        </is>
      </c>
      <c r="H64" s="50" t="inlineStr">
        <is>
          <t>중</t>
        </is>
      </c>
      <c r="I64" s="47" t="inlineStr">
        <is>
          <t>수용</t>
        </is>
      </c>
      <c r="J64" s="46" t="inlineStr">
        <is>
          <t>P2</t>
        </is>
      </c>
      <c r="K64" s="44" t="inlineStr">
        <is>
          <t>상</t>
        </is>
      </c>
      <c r="L64" s="48" t="inlineStr">
        <is>
          <t>개발계획서</t>
        </is>
      </c>
    </row>
    <row r="65" ht="15" customHeight="1" s="32">
      <c r="A65" s="40" t="n">
        <v>57</v>
      </c>
      <c r="B65" s="40" t="inlineStr">
        <is>
          <t>FR-MF-009</t>
        </is>
      </c>
      <c r="C65" s="40" t="inlineStr">
        <is>
          <t>MF</t>
        </is>
      </c>
      <c r="D65" s="41" t="inlineStr">
        <is>
          <t>발주비교</t>
        </is>
      </c>
      <c r="E65" s="45" t="inlineStr">
        <is>
          <t>1차 발주량 대비 최종 발주량 자동 비교</t>
        </is>
      </c>
      <c r="F65" s="45" t="inlineStr">
        <is>
          <t>1차 발주량과 실측 후 최종 발주량 자동 비교/차이 분석</t>
        </is>
      </c>
      <c r="G65" s="45" t="inlineStr">
        <is>
          <t>(신규 화면)</t>
        </is>
      </c>
      <c r="H65" s="50" t="inlineStr">
        <is>
          <t>중</t>
        </is>
      </c>
      <c r="I65" s="41" t="inlineStr">
        <is>
          <t>수용</t>
        </is>
      </c>
      <c r="J65" s="40" t="inlineStr">
        <is>
          <t>P2</t>
        </is>
      </c>
      <c r="K65" s="44" t="inlineStr">
        <is>
          <t>상</t>
        </is>
      </c>
      <c r="L65" s="42" t="inlineStr">
        <is>
          <t>개발계획서</t>
        </is>
      </c>
    </row>
    <row r="66" ht="15" customHeight="1" s="32">
      <c r="A66" s="46" t="n">
        <v>58</v>
      </c>
      <c r="B66" s="46" t="inlineStr">
        <is>
          <t>FR-MF-010</t>
        </is>
      </c>
      <c r="C66" s="46" t="inlineStr">
        <is>
          <t>MF</t>
        </is>
      </c>
      <c r="D66" s="47" t="inlineStr">
        <is>
          <t>발주비교</t>
        </is>
      </c>
      <c r="E66" s="48" t="inlineStr">
        <is>
          <t>추가 발주서 출력 및 처리</t>
        </is>
      </c>
      <c r="F66" s="48" t="inlineStr">
        <is>
          <t>추가 발주 필요 자재 발주서 출력</t>
        </is>
      </c>
      <c r="G66" s="49" t="inlineStr">
        <is>
          <t>(신규 화면)</t>
        </is>
      </c>
      <c r="H66" s="50" t="inlineStr">
        <is>
          <t>중</t>
        </is>
      </c>
      <c r="I66" s="47" t="inlineStr">
        <is>
          <t>수용</t>
        </is>
      </c>
      <c r="J66" s="46" t="inlineStr">
        <is>
          <t>P2</t>
        </is>
      </c>
      <c r="K66" s="47" t="inlineStr">
        <is>
          <t>중</t>
        </is>
      </c>
      <c r="L66" s="48" t="inlineStr">
        <is>
          <t>개발계획서</t>
        </is>
      </c>
    </row>
    <row r="67" ht="21.75" customHeight="1" s="32">
      <c r="A67" s="37" t="inlineStr">
        <is>
          <t>⑤ 현장실측 (FS) — 12건</t>
        </is>
      </c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9" t="n"/>
    </row>
    <row r="68" ht="15" customHeight="1" s="32">
      <c r="A68" s="40" t="n">
        <v>59</v>
      </c>
      <c r="B68" s="40" t="inlineStr">
        <is>
          <t>FR-FS-001</t>
        </is>
      </c>
      <c r="C68" s="40" t="inlineStr">
        <is>
          <t>FS</t>
        </is>
      </c>
      <c r="D68" s="40" t="inlineStr">
        <is>
          <t>BLE연동</t>
        </is>
      </c>
      <c r="E68" s="45" t="inlineStr">
        <is>
          <t>BLE 레이저 측정 장치 자동 탐색 및 페어링</t>
        </is>
      </c>
      <c r="F68" s="45" t="inlineStr">
        <is>
          <t>BLE로 레이저 측정 장치 자동 탐색/페어링</t>
        </is>
      </c>
      <c r="G68" s="45" t="inlineStr">
        <is>
          <t>(모바일 앱)</t>
        </is>
      </c>
      <c r="H68" s="44" t="inlineStr">
        <is>
          <t>상</t>
        </is>
      </c>
      <c r="I68" s="41" t="inlineStr">
        <is>
          <t>수용</t>
        </is>
      </c>
      <c r="J68" s="40" t="inlineStr">
        <is>
          <t>P2</t>
        </is>
      </c>
      <c r="K68" s="51" t="inlineStr">
        <is>
          <t>최상</t>
        </is>
      </c>
      <c r="L68" s="42" t="inlineStr">
        <is>
          <t>개발계획서 §3.2⑤</t>
        </is>
      </c>
    </row>
    <row r="69" ht="15" customHeight="1" s="32">
      <c r="A69" s="46" t="n">
        <v>60</v>
      </c>
      <c r="B69" s="46" t="inlineStr">
        <is>
          <t>FR-FS-002</t>
        </is>
      </c>
      <c r="C69" s="46" t="inlineStr">
        <is>
          <t>FS</t>
        </is>
      </c>
      <c r="D69" s="46" t="inlineStr">
        <is>
          <t>BLE연동</t>
        </is>
      </c>
      <c r="E69" s="48" t="inlineStr">
        <is>
          <t>측정값 실시간 수신</t>
        </is>
      </c>
      <c r="F69" s="49" t="inlineStr">
        <is>
          <t>BLE 연결 장치에서 측정값 실시간 수신</t>
        </is>
      </c>
      <c r="G69" s="49" t="inlineStr">
        <is>
          <t>(모바일 앱)</t>
        </is>
      </c>
      <c r="H69" s="44" t="inlineStr">
        <is>
          <t>상</t>
        </is>
      </c>
      <c r="I69" s="47" t="inlineStr">
        <is>
          <t>수용</t>
        </is>
      </c>
      <c r="J69" s="46" t="inlineStr">
        <is>
          <t>P2</t>
        </is>
      </c>
      <c r="K69" s="51" t="inlineStr">
        <is>
          <t>최상</t>
        </is>
      </c>
      <c r="L69" s="48" t="inlineStr">
        <is>
          <t>개발계획서 §3.2⑤</t>
        </is>
      </c>
    </row>
    <row r="70" ht="15" customHeight="1" s="32">
      <c r="A70" s="40" t="n">
        <v>61</v>
      </c>
      <c r="B70" s="40" t="inlineStr">
        <is>
          <t>FR-FS-003</t>
        </is>
      </c>
      <c r="C70" s="40" t="inlineStr">
        <is>
          <t>FS</t>
        </is>
      </c>
      <c r="D70" s="40" t="inlineStr">
        <is>
          <t>BLE연동</t>
        </is>
      </c>
      <c r="E70" s="42" t="inlineStr">
        <is>
          <t>장치 배터리 및 연결 상태 모니터링</t>
        </is>
      </c>
      <c r="F70" s="45" t="inlineStr">
        <is>
          <t>BLE 장치 배터리/연결 상태 모니터링</t>
        </is>
      </c>
      <c r="G70" s="45" t="inlineStr">
        <is>
          <t>(모바일 앱)</t>
        </is>
      </c>
      <c r="H70" s="50" t="inlineStr">
        <is>
          <t>중</t>
        </is>
      </c>
      <c r="I70" s="41" t="inlineStr">
        <is>
          <t>수용</t>
        </is>
      </c>
      <c r="J70" s="40" t="inlineStr">
        <is>
          <t>P2</t>
        </is>
      </c>
      <c r="K70" s="41" t="inlineStr">
        <is>
          <t>중</t>
        </is>
      </c>
      <c r="L70" s="42" t="inlineStr">
        <is>
          <t>개발계획서</t>
        </is>
      </c>
    </row>
    <row r="71" ht="15" customHeight="1" s="32">
      <c r="A71" s="46" t="n">
        <v>62</v>
      </c>
      <c r="B71" s="46" t="inlineStr">
        <is>
          <t>FR-FS-004</t>
        </is>
      </c>
      <c r="C71" s="46" t="inlineStr">
        <is>
          <t>FS</t>
        </is>
      </c>
      <c r="D71" s="46" t="inlineStr">
        <is>
          <t>BLE연동</t>
        </is>
      </c>
      <c r="E71" s="48" t="inlineStr">
        <is>
          <t>다중 장치 지원</t>
        </is>
      </c>
      <c r="F71" s="48" t="inlineStr">
        <is>
          <t>복수 BLE 측정 장치 동시 연결/관리</t>
        </is>
      </c>
      <c r="G71" s="49" t="inlineStr">
        <is>
          <t>(모바일 앱)</t>
        </is>
      </c>
      <c r="H71" s="50" t="inlineStr">
        <is>
          <t>중</t>
        </is>
      </c>
      <c r="I71" s="47" t="inlineStr">
        <is>
          <t>수용</t>
        </is>
      </c>
      <c r="J71" s="46" t="inlineStr">
        <is>
          <t>P2</t>
        </is>
      </c>
      <c r="K71" s="47" t="inlineStr">
        <is>
          <t>중</t>
        </is>
      </c>
      <c r="L71" s="48" t="inlineStr">
        <is>
          <t>개발계획서</t>
        </is>
      </c>
    </row>
    <row r="72" ht="15" customHeight="1" s="32">
      <c r="A72" s="40" t="n">
        <v>63</v>
      </c>
      <c r="B72" s="40" t="inlineStr">
        <is>
          <t>FR-FS-005</t>
        </is>
      </c>
      <c r="C72" s="40" t="inlineStr">
        <is>
          <t>FS</t>
        </is>
      </c>
      <c r="D72" s="41" t="inlineStr">
        <is>
          <t>실측관리</t>
        </is>
      </c>
      <c r="E72" s="42" t="inlineStr">
        <is>
          <t>프로젝트·개소 목록 동기화</t>
        </is>
      </c>
      <c r="F72" s="42" t="inlineStr">
        <is>
          <t>서버 프로젝트·개소 정보를 앱에 동기화</t>
        </is>
      </c>
      <c r="G72" s="45" t="inlineStr">
        <is>
          <t>(모바일 앱)</t>
        </is>
      </c>
      <c r="H72" s="50" t="inlineStr">
        <is>
          <t>중</t>
        </is>
      </c>
      <c r="I72" s="41" t="inlineStr">
        <is>
          <t>수용</t>
        </is>
      </c>
      <c r="J72" s="40" t="inlineStr">
        <is>
          <t>P2</t>
        </is>
      </c>
      <c r="K72" s="44" t="inlineStr">
        <is>
          <t>상</t>
        </is>
      </c>
      <c r="L72" s="42" t="inlineStr">
        <is>
          <t>개발계획서</t>
        </is>
      </c>
    </row>
    <row r="73" ht="15" customHeight="1" s="32">
      <c r="A73" s="46" t="n">
        <v>64</v>
      </c>
      <c r="B73" s="46" t="inlineStr">
        <is>
          <t>FR-FS-006</t>
        </is>
      </c>
      <c r="C73" s="46" t="inlineStr">
        <is>
          <t>FS</t>
        </is>
      </c>
      <c r="D73" s="47" t="inlineStr">
        <is>
          <t>실측관리</t>
        </is>
      </c>
      <c r="E73" s="48" t="inlineStr">
        <is>
          <t>개소별 측정 항목 자동 표시 및 진행률 관리</t>
        </is>
      </c>
      <c r="F73" s="48" t="inlineStr">
        <is>
          <t>개소별 필요 측정 항목 표시 및 진행률 추적</t>
        </is>
      </c>
      <c r="G73" s="49" t="inlineStr">
        <is>
          <t>(모바일 앱)</t>
        </is>
      </c>
      <c r="H73" s="50" t="inlineStr">
        <is>
          <t>중</t>
        </is>
      </c>
      <c r="I73" s="47" t="inlineStr">
        <is>
          <t>수용</t>
        </is>
      </c>
      <c r="J73" s="46" t="inlineStr">
        <is>
          <t>P2</t>
        </is>
      </c>
      <c r="K73" s="44" t="inlineStr">
        <is>
          <t>상</t>
        </is>
      </c>
      <c r="L73" s="48" t="inlineStr">
        <is>
          <t>개발계획서</t>
        </is>
      </c>
    </row>
    <row r="74" ht="15" customHeight="1" s="32">
      <c r="A74" s="40" t="n">
        <v>65</v>
      </c>
      <c r="B74" s="40" t="inlineStr">
        <is>
          <t>FR-FS-007</t>
        </is>
      </c>
      <c r="C74" s="40" t="inlineStr">
        <is>
          <t>FS</t>
        </is>
      </c>
      <c r="D74" s="41" t="inlineStr">
        <is>
          <t>실측관리</t>
        </is>
      </c>
      <c r="E74" s="45" t="inlineStr">
        <is>
          <t>BLE 수신값 자동 입력 및 수동 입력 병행</t>
        </is>
      </c>
      <c r="F74" s="45" t="inlineStr">
        <is>
          <t>BLE 수신값 자동 입력, 수동 입력 병행</t>
        </is>
      </c>
      <c r="G74" s="45" t="inlineStr">
        <is>
          <t>(모바일 앱)</t>
        </is>
      </c>
      <c r="H74" s="50" t="inlineStr">
        <is>
          <t>중</t>
        </is>
      </c>
      <c r="I74" s="41" t="inlineStr">
        <is>
          <t>수용</t>
        </is>
      </c>
      <c r="J74" s="40" t="inlineStr">
        <is>
          <t>P2</t>
        </is>
      </c>
      <c r="K74" s="44" t="inlineStr">
        <is>
          <t>상</t>
        </is>
      </c>
      <c r="L74" s="42" t="inlineStr">
        <is>
          <t>개발계획서</t>
        </is>
      </c>
    </row>
    <row r="75" ht="15" customHeight="1" s="32">
      <c r="A75" s="46" t="n">
        <v>66</v>
      </c>
      <c r="B75" s="46" t="inlineStr">
        <is>
          <t>FR-FS-008</t>
        </is>
      </c>
      <c r="C75" s="46" t="inlineStr">
        <is>
          <t>FS</t>
        </is>
      </c>
      <c r="D75" s="47" t="inlineStr">
        <is>
          <t>실측관리</t>
        </is>
      </c>
      <c r="E75" s="48" t="inlineStr">
        <is>
          <t>측정값 검증 및 경고</t>
        </is>
      </c>
      <c r="F75" s="48" t="inlineStr">
        <is>
          <t>입력 측정값 허용 범위 초과 시 경고</t>
        </is>
      </c>
      <c r="G75" s="49" t="inlineStr">
        <is>
          <t>(모바일 앱)</t>
        </is>
      </c>
      <c r="H75" s="50" t="inlineStr">
        <is>
          <t>중</t>
        </is>
      </c>
      <c r="I75" s="47" t="inlineStr">
        <is>
          <t>수용</t>
        </is>
      </c>
      <c r="J75" s="46" t="inlineStr">
        <is>
          <t>P2</t>
        </is>
      </c>
      <c r="K75" s="44" t="inlineStr">
        <is>
          <t>상</t>
        </is>
      </c>
      <c r="L75" s="48" t="inlineStr">
        <is>
          <t>개발계획서</t>
        </is>
      </c>
    </row>
    <row r="76" ht="15" customHeight="1" s="32">
      <c r="A76" s="40" t="n">
        <v>67</v>
      </c>
      <c r="B76" s="40" t="inlineStr">
        <is>
          <t>FR-FS-009</t>
        </is>
      </c>
      <c r="C76" s="40" t="inlineStr">
        <is>
          <t>FS</t>
        </is>
      </c>
      <c r="D76" s="41" t="inlineStr">
        <is>
          <t>실측관리</t>
        </is>
      </c>
      <c r="E76" s="42" t="inlineStr">
        <is>
          <t>측정 데이터 사진 첨부</t>
        </is>
      </c>
      <c r="F76" s="42" t="inlineStr">
        <is>
          <t>실측 현장 사진을 측정 데이터에 첨부</t>
        </is>
      </c>
      <c r="G76" s="45" t="inlineStr">
        <is>
          <t>(모바일 앱)</t>
        </is>
      </c>
      <c r="H76" s="50" t="inlineStr">
        <is>
          <t>중</t>
        </is>
      </c>
      <c r="I76" s="41" t="inlineStr">
        <is>
          <t>수용</t>
        </is>
      </c>
      <c r="J76" s="40" t="inlineStr">
        <is>
          <t>P2</t>
        </is>
      </c>
      <c r="K76" s="41" t="inlineStr">
        <is>
          <t>중</t>
        </is>
      </c>
      <c r="L76" s="42" t="inlineStr">
        <is>
          <t>개발계획서</t>
        </is>
      </c>
    </row>
    <row r="77" ht="15" customHeight="1" s="32">
      <c r="A77" s="46" t="n">
        <v>68</v>
      </c>
      <c r="B77" s="46" t="inlineStr">
        <is>
          <t>FR-FS-010</t>
        </is>
      </c>
      <c r="C77" s="46" t="inlineStr">
        <is>
          <t>FS</t>
        </is>
      </c>
      <c r="D77" s="47" t="inlineStr">
        <is>
          <t>데이터동기화</t>
        </is>
      </c>
      <c r="E77" s="49" t="inlineStr">
        <is>
          <t>Wi-Fi/LTE 실시간 서버 전송</t>
        </is>
      </c>
      <c r="F77" s="48" t="inlineStr">
        <is>
          <t>네트워크 연결 시 실시간 서버 전송</t>
        </is>
      </c>
      <c r="G77" s="49" t="inlineStr">
        <is>
          <t>(모바일 앱)</t>
        </is>
      </c>
      <c r="H77" s="50" t="inlineStr">
        <is>
          <t>중</t>
        </is>
      </c>
      <c r="I77" s="47" t="inlineStr">
        <is>
          <t>수용</t>
        </is>
      </c>
      <c r="J77" s="46" t="inlineStr">
        <is>
          <t>P2</t>
        </is>
      </c>
      <c r="K77" s="44" t="inlineStr">
        <is>
          <t>상</t>
        </is>
      </c>
      <c r="L77" s="48" t="inlineStr">
        <is>
          <t>개발계획서</t>
        </is>
      </c>
    </row>
    <row r="78" ht="15" customHeight="1" s="32">
      <c r="A78" s="40" t="n">
        <v>69</v>
      </c>
      <c r="B78" s="40" t="inlineStr">
        <is>
          <t>FR-FS-011</t>
        </is>
      </c>
      <c r="C78" s="40" t="inlineStr">
        <is>
          <t>FS</t>
        </is>
      </c>
      <c r="D78" s="41" t="inlineStr">
        <is>
          <t>데이터동기화</t>
        </is>
      </c>
      <c r="E78" s="42" t="inlineStr">
        <is>
          <t>오프라인 로컬 저장 및 자동 동기화</t>
        </is>
      </c>
      <c r="F78" s="42" t="inlineStr">
        <is>
          <t>네트워크 미연결 시 로컬 저장, 연결 시 자동 동기화</t>
        </is>
      </c>
      <c r="G78" s="45" t="inlineStr">
        <is>
          <t>(모바일 앱)</t>
        </is>
      </c>
      <c r="H78" s="44" t="inlineStr">
        <is>
          <t>상</t>
        </is>
      </c>
      <c r="I78" s="41" t="inlineStr">
        <is>
          <t>수용</t>
        </is>
      </c>
      <c r="J78" s="40" t="inlineStr">
        <is>
          <t>P2</t>
        </is>
      </c>
      <c r="K78" s="51" t="inlineStr">
        <is>
          <t>최상</t>
        </is>
      </c>
      <c r="L78" s="42" t="inlineStr">
        <is>
          <t>개발계획서</t>
        </is>
      </c>
    </row>
    <row r="79" ht="15" customHeight="1" s="32">
      <c r="A79" s="46" t="n">
        <v>70</v>
      </c>
      <c r="B79" s="46" t="inlineStr">
        <is>
          <t>FR-FS-012</t>
        </is>
      </c>
      <c r="C79" s="46" t="inlineStr">
        <is>
          <t>FS</t>
        </is>
      </c>
      <c r="D79" s="47" t="inlineStr">
        <is>
          <t>대시보드</t>
        </is>
      </c>
      <c r="E79" s="48" t="inlineStr">
        <is>
          <t>현장 실측 대시보드 (WIMS 웹)</t>
        </is>
      </c>
      <c r="F79" s="49" t="inlineStr">
        <is>
          <t>WIMS 웹에서 현장 실측 진행 대시보드</t>
        </is>
      </c>
      <c r="G79" s="49" t="inlineStr">
        <is>
          <t>(신규 화면)</t>
        </is>
      </c>
      <c r="H79" s="50" t="inlineStr">
        <is>
          <t>중</t>
        </is>
      </c>
      <c r="I79" s="47" t="inlineStr">
        <is>
          <t>수용</t>
        </is>
      </c>
      <c r="J79" s="46" t="inlineStr">
        <is>
          <t>P2</t>
        </is>
      </c>
      <c r="K79" s="44" t="inlineStr">
        <is>
          <t>상</t>
        </is>
      </c>
      <c r="L79" s="48" t="inlineStr">
        <is>
          <t>개발계획서</t>
        </is>
      </c>
    </row>
    <row r="80" ht="21.75" customHeight="1" s="32">
      <c r="A80" s="37" t="inlineStr">
        <is>
          <t>공통 (CM) — 6건</t>
        </is>
      </c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9" t="n"/>
    </row>
    <row r="81" ht="15" customHeight="1" s="32">
      <c r="A81" s="40" t="n">
        <v>71</v>
      </c>
      <c r="B81" s="40" t="inlineStr">
        <is>
          <t>FR-CM-001</t>
        </is>
      </c>
      <c r="C81" s="40" t="inlineStr">
        <is>
          <t>CM</t>
        </is>
      </c>
      <c r="D81" s="41" t="inlineStr">
        <is>
          <t>인증</t>
        </is>
      </c>
      <c r="E81" s="42" t="inlineStr">
        <is>
          <t>사용자 로그인 및 세션 관리</t>
        </is>
      </c>
      <c r="F81" s="42" t="inlineStr">
        <is>
          <t>아이디/비밀번호 로그인 및 JWT 기반 세션 관리</t>
        </is>
      </c>
      <c r="G81" s="42" t="inlineStr">
        <is>
          <t>로그인, 시스템관리 &gt; 비밀번호 변경</t>
        </is>
      </c>
      <c r="H81" s="50" t="inlineStr">
        <is>
          <t>중</t>
        </is>
      </c>
      <c r="I81" s="41" t="inlineStr">
        <is>
          <t>수용</t>
        </is>
      </c>
      <c r="J81" s="41" t="inlineStr">
        <is>
          <t>전체</t>
        </is>
      </c>
      <c r="K81" s="51" t="inlineStr">
        <is>
          <t>최상</t>
        </is>
      </c>
      <c r="L81" s="42" t="inlineStr">
        <is>
          <t>개발계획서, 사이트맵</t>
        </is>
      </c>
    </row>
    <row r="82" ht="15" customHeight="1" s="32">
      <c r="A82" s="46" t="n">
        <v>72</v>
      </c>
      <c r="B82" s="46" t="inlineStr">
        <is>
          <t>FR-CM-002</t>
        </is>
      </c>
      <c r="C82" s="46" t="inlineStr">
        <is>
          <t>CM</t>
        </is>
      </c>
      <c r="D82" s="47" t="inlineStr">
        <is>
          <t>권한</t>
        </is>
      </c>
      <c r="E82" s="48" t="inlineStr">
        <is>
          <t>역할 기반 접근제어 기능 구현 (RBAC 화면·API)</t>
        </is>
      </c>
      <c r="F82" s="48" t="inlineStr">
        <is>
          <t>사용자 역할별 메뉴·기능 접근 권한 관리 화면/API 구현</t>
        </is>
      </c>
      <c r="G82" s="48" t="inlineStr">
        <is>
          <t>시스템관리 &gt; 사용자 관리/상세</t>
        </is>
      </c>
      <c r="H82" s="50" t="inlineStr">
        <is>
          <t>중</t>
        </is>
      </c>
      <c r="I82" s="47" t="inlineStr">
        <is>
          <t>수용</t>
        </is>
      </c>
      <c r="J82" s="47" t="inlineStr">
        <is>
          <t>전체</t>
        </is>
      </c>
      <c r="K82" s="51" t="inlineStr">
        <is>
          <t>최상</t>
        </is>
      </c>
      <c r="L82" s="48" t="inlineStr">
        <is>
          <t>개발계획서</t>
        </is>
      </c>
    </row>
    <row r="83" ht="15" customHeight="1" s="32">
      <c r="A83" s="40" t="n">
        <v>73</v>
      </c>
      <c r="B83" s="40" t="inlineStr">
        <is>
          <t>FR-CM-003</t>
        </is>
      </c>
      <c r="C83" s="40" t="inlineStr">
        <is>
          <t>CM</t>
        </is>
      </c>
      <c r="D83" s="40" t="inlineStr">
        <is>
          <t>UI공통</t>
        </is>
      </c>
      <c r="E83" s="42" t="inlineStr">
        <is>
          <t>공통 UI 기능 (다중 창)</t>
        </is>
      </c>
      <c r="F83" s="42" t="inlineStr">
        <is>
          <t>다중 탭/창 등 공통 UI 편의 기능</t>
        </is>
      </c>
      <c r="G83" s="42" t="inlineStr">
        <is>
          <t>전체 화면 공통</t>
        </is>
      </c>
      <c r="H83" s="50" t="inlineStr">
        <is>
          <t>중</t>
        </is>
      </c>
      <c r="I83" s="41" t="inlineStr">
        <is>
          <t>수용</t>
        </is>
      </c>
      <c r="J83" s="41" t="inlineStr">
        <is>
          <t>전체</t>
        </is>
      </c>
      <c r="K83" s="44" t="inlineStr">
        <is>
          <t>상</t>
        </is>
      </c>
      <c r="L83" s="45" t="inlineStr">
        <is>
          <t>AN11-2 사용성</t>
        </is>
      </c>
    </row>
    <row r="84" ht="15" customHeight="1" s="32">
      <c r="A84" s="46" t="n">
        <v>74</v>
      </c>
      <c r="B84" s="46" t="inlineStr">
        <is>
          <t>FR-CM-004</t>
        </is>
      </c>
      <c r="C84" s="46" t="inlineStr">
        <is>
          <t>CM</t>
        </is>
      </c>
      <c r="D84" s="47" t="inlineStr">
        <is>
          <t>시스템관리</t>
        </is>
      </c>
      <c r="E84" s="48" t="inlineStr">
        <is>
          <t>시스템 관리 (사용자, 코드, 설정)</t>
        </is>
      </c>
      <c r="F84" s="48" t="inlineStr">
        <is>
          <t>사용자 CRUD, 코드/시스템 설정 관리</t>
        </is>
      </c>
      <c r="G84" s="48" t="inlineStr">
        <is>
          <t>시스템관리 &gt; 사용자관리/그룹관리</t>
        </is>
      </c>
      <c r="H84" s="50" t="inlineStr">
        <is>
          <t>중</t>
        </is>
      </c>
      <c r="I84" s="47" t="inlineStr">
        <is>
          <t>수용</t>
        </is>
      </c>
      <c r="J84" s="47" t="inlineStr">
        <is>
          <t>전체</t>
        </is>
      </c>
      <c r="K84" s="44" t="inlineStr">
        <is>
          <t>상</t>
        </is>
      </c>
      <c r="L84" s="48" t="inlineStr">
        <is>
          <t>사이트맵</t>
        </is>
      </c>
    </row>
    <row r="85" ht="15" customHeight="1" s="32">
      <c r="A85" s="40" t="n">
        <v>75</v>
      </c>
      <c r="B85" s="40" t="inlineStr">
        <is>
          <t>FR-CM-005</t>
        </is>
      </c>
      <c r="C85" s="40" t="inlineStr">
        <is>
          <t>CM</t>
        </is>
      </c>
      <c r="D85" s="41" t="inlineStr">
        <is>
          <t>오류수정</t>
        </is>
      </c>
      <c r="E85" s="42" t="inlineStr">
        <is>
          <t>현행 시스템 오류 수정 (11건 통합)</t>
        </is>
      </c>
      <c r="F85" s="45" t="inlineStr">
        <is>
          <t>AN11-2 식별 오류 11건 통합 수정 (별첨 A 참조)</t>
        </is>
      </c>
      <c r="G85" s="42" t="inlineStr">
        <is>
          <t>해당 각 화면</t>
        </is>
      </c>
      <c r="H85" s="50" t="inlineStr">
        <is>
          <t>중</t>
        </is>
      </c>
      <c r="I85" s="41" t="inlineStr">
        <is>
          <t>수용</t>
        </is>
      </c>
      <c r="J85" s="41" t="inlineStr">
        <is>
          <t>전체</t>
        </is>
      </c>
      <c r="K85" s="51" t="inlineStr">
        <is>
          <t>최상</t>
        </is>
      </c>
      <c r="L85" s="45" t="inlineStr">
        <is>
          <t>AN11-2 오류 11건</t>
        </is>
      </c>
    </row>
    <row r="86" ht="15" customHeight="1" s="32">
      <c r="A86" s="40" t="n">
        <v>76</v>
      </c>
      <c r="B86" s="40" t="inlineStr">
        <is>
          <t>FR-CM-005-01</t>
        </is>
      </c>
      <c r="C86" s="40" t="inlineStr">
        <is>
          <t>CM</t>
        </is>
      </c>
      <c r="D86" s="41" t="inlineStr">
        <is>
          <t>오류수정</t>
        </is>
      </c>
      <c r="E86" s="42" t="inlineStr">
        <is>
          <t>식별번호 매칭 시 부호 중량 합산 오류</t>
        </is>
      </c>
      <c r="F86" s="45" t="inlineStr">
        <is>
          <t>식별번호별 부호 중량 합산 로직 오류 수정</t>
        </is>
      </c>
      <c r="G86" s="42" t="inlineStr">
        <is>
          <t>견적설계 &gt; 식별번호 매칭</t>
        </is>
      </c>
      <c r="H86" s="50" t="inlineStr">
        <is>
          <t>중</t>
        </is>
      </c>
      <c r="I86" s="41" t="inlineStr">
        <is>
          <t>수용</t>
        </is>
      </c>
      <c r="J86" s="41" t="inlineStr">
        <is>
          <t>전체</t>
        </is>
      </c>
      <c r="K86" s="51" t="inlineStr">
        <is>
          <t>최상</t>
        </is>
      </c>
      <c r="L86" s="45" t="inlineStr">
        <is>
          <t>AN11-2</t>
        </is>
      </c>
    </row>
    <row r="87">
      <c r="A87" s="40" t="n">
        <v>77</v>
      </c>
      <c r="B87" s="40" t="inlineStr">
        <is>
          <t>FR-CM-005-02</t>
        </is>
      </c>
      <c r="C87" s="40" t="inlineStr">
        <is>
          <t>CM</t>
        </is>
      </c>
      <c r="D87" s="41" t="inlineStr">
        <is>
          <t>오류수정</t>
        </is>
      </c>
      <c r="E87" s="42" t="inlineStr">
        <is>
          <t>도면 로딩 시 간헐적 렌더링 실패</t>
        </is>
      </c>
      <c r="F87" s="45" t="inlineStr">
        <is>
          <t>캐싱 전략 개선, 에러 핸들링 추가</t>
        </is>
      </c>
      <c r="G87" s="42" t="inlineStr">
        <is>
          <t>견적설계 &gt; 도면 조회</t>
        </is>
      </c>
      <c r="H87" s="50" t="inlineStr">
        <is>
          <t>중</t>
        </is>
      </c>
      <c r="I87" s="41" t="inlineStr">
        <is>
          <t>수용</t>
        </is>
      </c>
      <c r="J87" s="41" t="inlineStr">
        <is>
          <t>전체</t>
        </is>
      </c>
      <c r="K87" s="51" t="inlineStr">
        <is>
          <t>최상</t>
        </is>
      </c>
      <c r="L87" s="45" t="inlineStr">
        <is>
          <t>AN11-2</t>
        </is>
      </c>
    </row>
    <row r="88">
      <c r="A88" s="40" t="n">
        <v>78</v>
      </c>
      <c r="B88" s="40" t="inlineStr">
        <is>
          <t>FR-CM-005-03</t>
        </is>
      </c>
      <c r="C88" s="40" t="inlineStr">
        <is>
          <t>CM</t>
        </is>
      </c>
      <c r="D88" s="41" t="inlineStr">
        <is>
          <t>오류수정</t>
        </is>
      </c>
      <c r="E88" s="42" t="inlineStr">
        <is>
          <t>개소 삭제 후 수량 재계산 미반영</t>
        </is>
      </c>
      <c r="F88" s="45" t="inlineStr">
        <is>
          <t>개소 삭제 후 자동 재계산 로직 추가</t>
        </is>
      </c>
      <c r="G88" s="42" t="inlineStr">
        <is>
          <t>견적설계 &gt; 개소 관리</t>
        </is>
      </c>
      <c r="H88" s="50" t="inlineStr">
        <is>
          <t>중</t>
        </is>
      </c>
      <c r="I88" s="41" t="inlineStr">
        <is>
          <t>수용</t>
        </is>
      </c>
      <c r="J88" s="41" t="inlineStr">
        <is>
          <t>전체</t>
        </is>
      </c>
      <c r="K88" s="51" t="inlineStr">
        <is>
          <t>최상</t>
        </is>
      </c>
      <c r="L88" s="45" t="inlineStr">
        <is>
          <t>AN11-2</t>
        </is>
      </c>
    </row>
    <row r="89">
      <c r="A89" s="40" t="n">
        <v>79</v>
      </c>
      <c r="B89" s="40" t="inlineStr">
        <is>
          <t>FR-CM-005-04</t>
        </is>
      </c>
      <c r="C89" s="40" t="inlineStr">
        <is>
          <t>CM</t>
        </is>
      </c>
      <c r="D89" s="41" t="inlineStr">
        <is>
          <t>오류수정</t>
        </is>
      </c>
      <c r="E89" s="42" t="inlineStr">
        <is>
          <t>견적서 출력 시 금액 소수점 절사 오류</t>
        </is>
      </c>
      <c r="F89" s="45" t="inlineStr">
        <is>
          <t>금액 반올림 로직 수정 (banker's rounding)</t>
        </is>
      </c>
      <c r="G89" s="42" t="inlineStr">
        <is>
          <t>견적설계 &gt; 견적서 출력</t>
        </is>
      </c>
      <c r="H89" s="50" t="inlineStr">
        <is>
          <t>중</t>
        </is>
      </c>
      <c r="I89" s="41" t="inlineStr">
        <is>
          <t>수용</t>
        </is>
      </c>
      <c r="J89" s="41" t="inlineStr">
        <is>
          <t>전체</t>
        </is>
      </c>
      <c r="K89" s="51" t="inlineStr">
        <is>
          <t>최상</t>
        </is>
      </c>
      <c r="L89" s="45" t="inlineStr">
        <is>
          <t>AN11-2</t>
        </is>
      </c>
    </row>
    <row r="90">
      <c r="A90" s="40" t="n">
        <v>80</v>
      </c>
      <c r="B90" s="40" t="inlineStr">
        <is>
          <t>FR-CM-005-05</t>
        </is>
      </c>
      <c r="C90" s="40" t="inlineStr">
        <is>
          <t>CM</t>
        </is>
      </c>
      <c r="D90" s="41" t="inlineStr">
        <is>
          <t>오류수정</t>
        </is>
      </c>
      <c r="E90" s="42" t="inlineStr">
        <is>
          <t>자재 코드 중복 등록 가능 (유일성 미검증)</t>
        </is>
      </c>
      <c r="F90" s="45" t="inlineStr">
        <is>
          <t>DB UNIQUE 제약 추가, 입력 검증 강화</t>
        </is>
      </c>
      <c r="G90" s="42" t="inlineStr">
        <is>
          <t>제품관리 &gt; 자재 관리</t>
        </is>
      </c>
      <c r="H90" s="50" t="inlineStr">
        <is>
          <t>중</t>
        </is>
      </c>
      <c r="I90" s="41" t="inlineStr">
        <is>
          <t>수용</t>
        </is>
      </c>
      <c r="J90" s="41" t="inlineStr">
        <is>
          <t>전체</t>
        </is>
      </c>
      <c r="K90" s="51" t="inlineStr">
        <is>
          <t>최상</t>
        </is>
      </c>
      <c r="L90" s="45" t="inlineStr">
        <is>
          <t>AN11-2</t>
        </is>
      </c>
    </row>
    <row r="91">
      <c r="A91" s="40" t="n">
        <v>81</v>
      </c>
      <c r="B91" s="40" t="inlineStr">
        <is>
          <t>FR-CM-005-06</t>
        </is>
      </c>
      <c r="C91" s="40" t="inlineStr">
        <is>
          <t>CM</t>
        </is>
      </c>
      <c r="D91" s="41" t="inlineStr">
        <is>
          <t>오류수정</t>
        </is>
      </c>
      <c r="E91" s="42" t="inlineStr">
        <is>
          <t>단가 변경 후 기존 견적에 소급 적용</t>
        </is>
      </c>
      <c r="F91" s="45" t="inlineStr">
        <is>
          <t>견적 작성 시 단가 스냅샷 저장</t>
        </is>
      </c>
      <c r="G91" s="42" t="inlineStr">
        <is>
          <t>제품관리 &gt; 단가 이력</t>
        </is>
      </c>
      <c r="H91" s="50" t="inlineStr">
        <is>
          <t>중</t>
        </is>
      </c>
      <c r="I91" s="41" t="inlineStr">
        <is>
          <t>수용</t>
        </is>
      </c>
      <c r="J91" s="41" t="inlineStr">
        <is>
          <t>전체</t>
        </is>
      </c>
      <c r="K91" s="51" t="inlineStr">
        <is>
          <t>최상</t>
        </is>
      </c>
      <c r="L91" s="45" t="inlineStr">
        <is>
          <t>AN11-2</t>
        </is>
      </c>
    </row>
    <row r="92">
      <c r="A92" s="40" t="n">
        <v>82</v>
      </c>
      <c r="B92" s="40" t="inlineStr">
        <is>
          <t>FR-CM-005-07</t>
        </is>
      </c>
      <c r="C92" s="40" t="inlineStr">
        <is>
          <t>CM</t>
        </is>
      </c>
      <c r="D92" s="41" t="inlineStr">
        <is>
          <t>오류수정</t>
        </is>
      </c>
      <c r="E92" s="42" t="inlineStr">
        <is>
          <t>절단 계획 수정 후 발주서에 미반영</t>
        </is>
      </c>
      <c r="F92" s="45" t="inlineStr">
        <is>
          <t>발주서-절단계획 동기화 로직 추가</t>
        </is>
      </c>
      <c r="G92" s="42" t="inlineStr">
        <is>
          <t>발주 &gt; 발주서 관리</t>
        </is>
      </c>
      <c r="H92" s="50" t="inlineStr">
        <is>
          <t>중</t>
        </is>
      </c>
      <c r="I92" s="41" t="inlineStr">
        <is>
          <t>수용</t>
        </is>
      </c>
      <c r="J92" s="41" t="inlineStr">
        <is>
          <t>전체</t>
        </is>
      </c>
      <c r="K92" s="51" t="inlineStr">
        <is>
          <t>최상</t>
        </is>
      </c>
      <c r="L92" s="45" t="inlineStr">
        <is>
          <t>AN11-2</t>
        </is>
      </c>
    </row>
    <row r="93">
      <c r="A93" s="40" t="n">
        <v>83</v>
      </c>
      <c r="B93" s="40" t="inlineStr">
        <is>
          <t>FR-CM-005-08</t>
        </is>
      </c>
      <c r="C93" s="40" t="inlineStr">
        <is>
          <t>CM</t>
        </is>
      </c>
      <c r="D93" s="41" t="inlineStr">
        <is>
          <t>오류수정</t>
        </is>
      </c>
      <c r="E93" s="42" t="inlineStr">
        <is>
          <t>발주서 출력 시 거래처명 누락</t>
        </is>
      </c>
      <c r="F93" s="45" t="inlineStr">
        <is>
          <t>발주서 템플릿 수정, 데이터 검증 추가</t>
        </is>
      </c>
      <c r="G93" s="42" t="inlineStr">
        <is>
          <t>발주 &gt; 발주서 출력</t>
        </is>
      </c>
      <c r="H93" s="50" t="inlineStr">
        <is>
          <t>중</t>
        </is>
      </c>
      <c r="I93" s="41" t="inlineStr">
        <is>
          <t>수용</t>
        </is>
      </c>
      <c r="J93" s="41" t="inlineStr">
        <is>
          <t>전체</t>
        </is>
      </c>
      <c r="K93" s="51" t="inlineStr">
        <is>
          <t>최상</t>
        </is>
      </c>
      <c r="L93" s="45" t="inlineStr">
        <is>
          <t>AN11-2</t>
        </is>
      </c>
    </row>
    <row r="94">
      <c r="A94" s="40" t="n">
        <v>84</v>
      </c>
      <c r="B94" s="40" t="inlineStr">
        <is>
          <t>FR-CM-005-09</t>
        </is>
      </c>
      <c r="C94" s="40" t="inlineStr">
        <is>
          <t>CM</t>
        </is>
      </c>
      <c r="D94" s="41" t="inlineStr">
        <is>
          <t>오류수정</t>
        </is>
      </c>
      <c r="E94" s="42" t="inlineStr">
        <is>
          <t>로그인 세션 만료 후 작업 내용 소실</t>
        </is>
      </c>
      <c r="F94" s="45" t="inlineStr">
        <is>
          <t>자동 저장 기능 추가, 세션 연장 알림</t>
        </is>
      </c>
      <c r="G94" s="42" t="inlineStr">
        <is>
          <t>전체 화면 공통</t>
        </is>
      </c>
      <c r="H94" s="50" t="inlineStr">
        <is>
          <t>중</t>
        </is>
      </c>
      <c r="I94" s="41" t="inlineStr">
        <is>
          <t>수용</t>
        </is>
      </c>
      <c r="J94" s="41" t="inlineStr">
        <is>
          <t>전체</t>
        </is>
      </c>
      <c r="K94" s="51" t="inlineStr">
        <is>
          <t>최상</t>
        </is>
      </c>
      <c r="L94" s="45" t="inlineStr">
        <is>
          <t>AN11-2</t>
        </is>
      </c>
    </row>
    <row r="95">
      <c r="A95" s="40" t="n">
        <v>85</v>
      </c>
      <c r="B95" s="40" t="inlineStr">
        <is>
          <t>FR-CM-005-10</t>
        </is>
      </c>
      <c r="C95" s="40" t="inlineStr">
        <is>
          <t>CM</t>
        </is>
      </c>
      <c r="D95" s="41" t="inlineStr">
        <is>
          <t>오류수정</t>
        </is>
      </c>
      <c r="E95" s="42" t="inlineStr">
        <is>
          <t>브라우저 뒤로가기 시 데이터 초기화</t>
        </is>
      </c>
      <c r="F95" s="45" t="inlineStr">
        <is>
          <t>히스토리 관리 로직 개선, 상태 유지 메커니즘</t>
        </is>
      </c>
      <c r="G95" s="42" t="inlineStr">
        <is>
          <t>전체 화면 공통</t>
        </is>
      </c>
      <c r="H95" s="50" t="inlineStr">
        <is>
          <t>중</t>
        </is>
      </c>
      <c r="I95" s="41" t="inlineStr">
        <is>
          <t>수용</t>
        </is>
      </c>
      <c r="J95" s="41" t="inlineStr">
        <is>
          <t>전체</t>
        </is>
      </c>
      <c r="K95" s="51" t="inlineStr">
        <is>
          <t>최상</t>
        </is>
      </c>
      <c r="L95" s="45" t="inlineStr">
        <is>
          <t>AN11-2</t>
        </is>
      </c>
    </row>
    <row r="96">
      <c r="A96" s="40" t="n">
        <v>86</v>
      </c>
      <c r="B96" s="40" t="inlineStr">
        <is>
          <t>FR-CM-005-11</t>
        </is>
      </c>
      <c r="C96" s="40" t="inlineStr">
        <is>
          <t>CM</t>
        </is>
      </c>
      <c r="D96" s="41" t="inlineStr">
        <is>
          <t>오류수정</t>
        </is>
      </c>
      <c r="E96" s="42" t="inlineStr">
        <is>
          <t>파일 업로드 용량 제한 미안내</t>
        </is>
      </c>
      <c r="F96" s="45" t="inlineStr">
        <is>
          <t>업로드 전 용량 제한 안내, 폼에 명시</t>
        </is>
      </c>
      <c r="G96" s="42" t="inlineStr">
        <is>
          <t>파일 업로드 폼</t>
        </is>
      </c>
      <c r="H96" s="50" t="inlineStr">
        <is>
          <t>중</t>
        </is>
      </c>
      <c r="I96" s="41" t="inlineStr">
        <is>
          <t>수용</t>
        </is>
      </c>
      <c r="J96" s="41" t="inlineStr">
        <is>
          <t>전체</t>
        </is>
      </c>
      <c r="K96" s="51" t="inlineStr">
        <is>
          <t>최상</t>
        </is>
      </c>
      <c r="L96" s="45" t="inlineStr">
        <is>
          <t>AN11-2</t>
        </is>
      </c>
    </row>
    <row r="97">
      <c r="A97" s="46" t="n">
        <v>76</v>
      </c>
      <c r="B97" s="46" t="inlineStr">
        <is>
          <t>FR-CM-006</t>
        </is>
      </c>
      <c r="C97" s="46" t="inlineStr">
        <is>
          <t>CM</t>
        </is>
      </c>
      <c r="D97" s="47" t="inlineStr">
        <is>
          <t>모바일</t>
        </is>
      </c>
      <c r="E97" s="48" t="inlineStr">
        <is>
          <t>모바일 견적 조회</t>
        </is>
      </c>
      <c r="F97" s="48" t="inlineStr">
        <is>
          <t>모바일 앱에서 견적 정보 조회 (범위 축소)</t>
        </is>
      </c>
      <c r="G97" s="49" t="inlineStr">
        <is>
          <t>(모바일 앱)</t>
        </is>
      </c>
      <c r="H97" s="50" t="inlineStr">
        <is>
          <t>중</t>
        </is>
      </c>
      <c r="I97" s="47" t="inlineStr">
        <is>
          <t>일부수용</t>
        </is>
      </c>
      <c r="J97" s="46" t="inlineStr">
        <is>
          <t>P2</t>
        </is>
      </c>
      <c r="K97" s="47" t="inlineStr">
        <is>
          <t>하</t>
        </is>
      </c>
      <c r="L97" s="49" t="inlineStr">
        <is>
          <t>AN11-2</t>
        </is>
      </c>
    </row>
  </sheetData>
  <autoFilter ref="A4:L86"/>
  <mergeCells count="8">
    <mergeCell ref="A2:L2"/>
    <mergeCell ref="A1:L1"/>
    <mergeCell ref="A45:L45"/>
    <mergeCell ref="A23:L23"/>
    <mergeCell ref="A5:L5"/>
    <mergeCell ref="A80:L80"/>
    <mergeCell ref="A56:L56"/>
    <mergeCell ref="A67:L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31" min="1" max="1"/>
    <col width="18" customWidth="1" style="31" min="2" max="2"/>
    <col width="10" customWidth="1" style="31" min="3" max="3"/>
    <col width="12" customWidth="1" style="31" min="4" max="4"/>
    <col width="30" customWidth="1" style="31" min="5" max="5"/>
    <col width="55" customWidth="1" style="31" min="6" max="6"/>
    <col width="8" customWidth="1" style="31" min="7" max="7"/>
    <col width="10" customWidth="1" style="31" min="8" max="8"/>
    <col width="9" customWidth="1" style="31" min="9" max="9"/>
    <col width="10" customWidth="1" style="31" min="10" max="10"/>
    <col width="20" customWidth="1" style="31" min="11" max="11"/>
  </cols>
  <sheetData>
    <row r="1" ht="34.5" customHeight="1" s="32">
      <c r="A1" s="52" t="inlineStr">
        <is>
          <t>WIMS 2.0 비기능 요구사항 목록</t>
        </is>
      </c>
    </row>
    <row r="2" ht="11.9" customHeight="1" s="32">
      <c r="A2" s="53" t="n">
        <v>1</v>
      </c>
    </row>
    <row r="4" ht="30" customHeight="1" s="32">
      <c r="A4" s="35" t="inlineStr">
        <is>
          <t>No</t>
        </is>
      </c>
      <c r="B4" s="36" t="inlineStr">
        <is>
          <t>요구사항 ID</t>
        </is>
      </c>
      <c r="C4" s="36" t="inlineStr">
        <is>
          <t>분류</t>
        </is>
      </c>
      <c r="D4" s="36" t="inlineStr">
        <is>
          <t>서브시스템</t>
        </is>
      </c>
      <c r="E4" s="36" t="inlineStr">
        <is>
          <t>요구사항 명</t>
        </is>
      </c>
      <c r="F4" s="36" t="inlineStr">
        <is>
          <t>요구사항 설명</t>
        </is>
      </c>
      <c r="G4" s="36" t="inlineStr">
        <is>
          <t>난이도</t>
        </is>
      </c>
      <c r="H4" s="36" t="inlineStr">
        <is>
          <t>수용여부</t>
        </is>
      </c>
      <c r="I4" s="35" t="inlineStr">
        <is>
          <t>Phase</t>
        </is>
      </c>
      <c r="J4" s="36" t="inlineStr">
        <is>
          <t>우선순위</t>
        </is>
      </c>
      <c r="K4" s="36" t="inlineStr">
        <is>
          <t>출처</t>
        </is>
      </c>
    </row>
    <row r="5" ht="21.75" customHeight="1" s="32">
      <c r="A5" s="37" t="inlineStr">
        <is>
          <t>보안 (Security) — 8건</t>
        </is>
      </c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  <c r="K5" s="39" t="n"/>
    </row>
    <row r="6" ht="15" customHeight="1" s="32">
      <c r="A6" s="40" t="n">
        <v>1</v>
      </c>
      <c r="B6" s="40" t="inlineStr">
        <is>
          <t>NFR-SC-CM-001</t>
        </is>
      </c>
      <c r="C6" s="41" t="inlineStr">
        <is>
          <t>보안</t>
        </is>
      </c>
      <c r="D6" s="40" t="inlineStr">
        <is>
          <t>CM</t>
        </is>
      </c>
      <c r="E6" s="45" t="inlineStr">
        <is>
          <t>JWT 토큰 기반 사용자 인증</t>
        </is>
      </c>
      <c r="F6" s="42" t="inlineStr">
        <is>
          <t>모든 API 요청에 JWT 토큰 기반 인증 적용</t>
        </is>
      </c>
      <c r="G6" s="50" t="inlineStr">
        <is>
          <t>중</t>
        </is>
      </c>
      <c r="H6" s="41" t="inlineStr">
        <is>
          <t>수용</t>
        </is>
      </c>
      <c r="I6" s="41" t="inlineStr">
        <is>
          <t>전체</t>
        </is>
      </c>
      <c r="J6" s="51" t="inlineStr">
        <is>
          <t>최상</t>
        </is>
      </c>
      <c r="K6" s="45" t="inlineStr">
        <is>
          <t>AN12-0-4</t>
        </is>
      </c>
    </row>
    <row r="7" ht="15" customHeight="1" s="32">
      <c r="A7" s="46" t="n">
        <v>2</v>
      </c>
      <c r="B7" s="46" t="inlineStr">
        <is>
          <t>NFR-SC-CM-002</t>
        </is>
      </c>
      <c r="C7" s="47" t="inlineStr">
        <is>
          <t>보안</t>
        </is>
      </c>
      <c r="D7" s="46" t="inlineStr">
        <is>
          <t>CM</t>
        </is>
      </c>
      <c r="E7" s="48" t="inlineStr">
        <is>
          <t>역할(Role) 기반 접근제어 정책·규칙 정의</t>
        </is>
      </c>
      <c r="F7" s="49" t="inlineStr">
        <is>
          <t>RBAC 정책 수립 및 역할별 접근 규칙 정의</t>
        </is>
      </c>
      <c r="G7" s="50" t="inlineStr">
        <is>
          <t>중</t>
        </is>
      </c>
      <c r="H7" s="47" t="inlineStr">
        <is>
          <t>수용</t>
        </is>
      </c>
      <c r="I7" s="47" t="inlineStr">
        <is>
          <t>전체</t>
        </is>
      </c>
      <c r="J7" s="51" t="inlineStr">
        <is>
          <t>최상</t>
        </is>
      </c>
      <c r="K7" s="49" t="inlineStr">
        <is>
          <t>AN12-0-4</t>
        </is>
      </c>
    </row>
    <row r="8" ht="15" customHeight="1" s="32">
      <c r="A8" s="40" t="n">
        <v>3</v>
      </c>
      <c r="B8" s="40" t="inlineStr">
        <is>
          <t>NFR-SC-CM-003</t>
        </is>
      </c>
      <c r="C8" s="41" t="inlineStr">
        <is>
          <t>보안</t>
        </is>
      </c>
      <c r="D8" s="40" t="inlineStr">
        <is>
          <t>CM</t>
        </is>
      </c>
      <c r="E8" s="45" t="inlineStr">
        <is>
          <t>HTTPS(TLS 1.2+) 전 구간 암호화 통신</t>
        </is>
      </c>
      <c r="F8" s="42" t="inlineStr">
        <is>
          <t>클라이언트-서버 간 모든 통신 HTTPS 암호화</t>
        </is>
      </c>
      <c r="G8" s="43" t="inlineStr">
        <is>
          <t>하</t>
        </is>
      </c>
      <c r="H8" s="41" t="inlineStr">
        <is>
          <t>수용</t>
        </is>
      </c>
      <c r="I8" s="41" t="inlineStr">
        <is>
          <t>전체</t>
        </is>
      </c>
      <c r="J8" s="51" t="inlineStr">
        <is>
          <t>최상</t>
        </is>
      </c>
      <c r="K8" s="45" t="inlineStr">
        <is>
          <t>AN12-0-4</t>
        </is>
      </c>
    </row>
    <row r="9" ht="15" customHeight="1" s="32">
      <c r="A9" s="46" t="n">
        <v>4</v>
      </c>
      <c r="B9" s="46" t="inlineStr">
        <is>
          <t>NFR-SC-FS-001</t>
        </is>
      </c>
      <c r="C9" s="47" t="inlineStr">
        <is>
          <t>보안</t>
        </is>
      </c>
      <c r="D9" s="46" t="inlineStr">
        <is>
          <t>FS</t>
        </is>
      </c>
      <c r="E9" s="48" t="inlineStr">
        <is>
          <t>앱 내 데이터 AES-256 암호화 저장</t>
        </is>
      </c>
      <c r="F9" s="48" t="inlineStr">
        <is>
          <t>모바일 앱 로컬 DB 데이터 AES-256 암호화</t>
        </is>
      </c>
      <c r="G9" s="50" t="inlineStr">
        <is>
          <t>중</t>
        </is>
      </c>
      <c r="H9" s="47" t="inlineStr">
        <is>
          <t>수용</t>
        </is>
      </c>
      <c r="I9" s="46" t="inlineStr">
        <is>
          <t>P2</t>
        </is>
      </c>
      <c r="J9" s="44" t="inlineStr">
        <is>
          <t>상</t>
        </is>
      </c>
      <c r="K9" s="49" t="inlineStr">
        <is>
          <t>AN12-0-4</t>
        </is>
      </c>
    </row>
    <row r="10" ht="15" customHeight="1" s="32">
      <c r="A10" s="40" t="n">
        <v>5</v>
      </c>
      <c r="B10" s="40" t="inlineStr">
        <is>
          <t>NFR-SC-PM-001</t>
        </is>
      </c>
      <c r="C10" s="41" t="inlineStr">
        <is>
          <t>보안</t>
        </is>
      </c>
      <c r="D10" s="40" t="inlineStr">
        <is>
          <t>PM</t>
        </is>
      </c>
      <c r="E10" s="45" t="inlineStr">
        <is>
          <t>MES 전용 서비스 계정 발급 및 관리</t>
        </is>
      </c>
      <c r="F10" s="45" t="inlineStr">
        <is>
          <t>MES 연동 시 전용 서비스 계정 발급/관리</t>
        </is>
      </c>
      <c r="G10" s="43" t="inlineStr">
        <is>
          <t>하</t>
        </is>
      </c>
      <c r="H10" s="41" t="inlineStr">
        <is>
          <t>수용</t>
        </is>
      </c>
      <c r="I10" s="40" t="inlineStr">
        <is>
          <t>P1</t>
        </is>
      </c>
      <c r="J10" s="44" t="inlineStr">
        <is>
          <t>상</t>
        </is>
      </c>
      <c r="K10" s="45" t="inlineStr">
        <is>
          <t>AN12-0-4</t>
        </is>
      </c>
    </row>
    <row r="11" ht="15" customHeight="1" s="32">
      <c r="A11" s="46" t="n">
        <v>6</v>
      </c>
      <c r="B11" s="46" t="inlineStr">
        <is>
          <t>NFR-SC-FS-002</t>
        </is>
      </c>
      <c r="C11" s="47" t="inlineStr">
        <is>
          <t>보안</t>
        </is>
      </c>
      <c r="D11" s="46" t="inlineStr">
        <is>
          <t>FS</t>
        </is>
      </c>
      <c r="E11" s="48" t="inlineStr">
        <is>
          <t>기기 분실 시 원격 데이터 삭제</t>
        </is>
      </c>
      <c r="F11" s="48" t="inlineStr">
        <is>
          <t>모바일 기기 분실 시 원격 앱 데이터 삭제</t>
        </is>
      </c>
      <c r="G11" s="44" t="inlineStr">
        <is>
          <t>상</t>
        </is>
      </c>
      <c r="H11" s="47" t="inlineStr">
        <is>
          <t>수용</t>
        </is>
      </c>
      <c r="I11" s="46" t="inlineStr">
        <is>
          <t>P2</t>
        </is>
      </c>
      <c r="J11" s="47" t="inlineStr">
        <is>
          <t>중</t>
        </is>
      </c>
      <c r="K11" s="49" t="inlineStr">
        <is>
          <t>AN12-0-4</t>
        </is>
      </c>
    </row>
    <row r="12" ht="15" customHeight="1" s="32">
      <c r="A12" s="40" t="n">
        <v>7</v>
      </c>
      <c r="B12" s="40" t="inlineStr">
        <is>
          <t>NFR-SC-CM-004</t>
        </is>
      </c>
      <c r="C12" s="41" t="inlineStr">
        <is>
          <t>보안</t>
        </is>
      </c>
      <c r="D12" s="40" t="inlineStr">
        <is>
          <t>CM</t>
        </is>
      </c>
      <c r="E12" s="42" t="inlineStr">
        <is>
          <t>비밀번호 정책 (복잡도, 만료, 잠금)</t>
        </is>
      </c>
      <c r="F12" s="42" t="inlineStr">
        <is>
          <t>비밀번호 복잡도/만료/실패 잠금 정책 적용</t>
        </is>
      </c>
      <c r="G12" s="43" t="inlineStr">
        <is>
          <t>하</t>
        </is>
      </c>
      <c r="H12" s="41" t="inlineStr">
        <is>
          <t>수용</t>
        </is>
      </c>
      <c r="I12" s="41" t="inlineStr">
        <is>
          <t>전체</t>
        </is>
      </c>
      <c r="J12" s="44" t="inlineStr">
        <is>
          <t>상</t>
        </is>
      </c>
      <c r="K12" s="45" t="inlineStr">
        <is>
          <t>AN12-0-4</t>
        </is>
      </c>
    </row>
    <row r="13" ht="15" customHeight="1" s="32">
      <c r="A13" s="46" t="n">
        <v>8</v>
      </c>
      <c r="B13" s="46" t="inlineStr">
        <is>
          <t>NFR-SC-CM-005</t>
        </is>
      </c>
      <c r="C13" s="47" t="inlineStr">
        <is>
          <t>보안</t>
        </is>
      </c>
      <c r="D13" s="46" t="inlineStr">
        <is>
          <t>CM</t>
        </is>
      </c>
      <c r="E13" s="49" t="inlineStr">
        <is>
          <t>XSS/SQL Injection 방어</t>
        </is>
      </c>
      <c r="F13" s="48" t="inlineStr">
        <is>
          <t>입력값 검증 및 Parameterized Query 적용</t>
        </is>
      </c>
      <c r="G13" s="43" t="inlineStr">
        <is>
          <t>하</t>
        </is>
      </c>
      <c r="H13" s="47" t="inlineStr">
        <is>
          <t>수용</t>
        </is>
      </c>
      <c r="I13" s="47" t="inlineStr">
        <is>
          <t>전체</t>
        </is>
      </c>
      <c r="J13" s="51" t="inlineStr">
        <is>
          <t>최상</t>
        </is>
      </c>
      <c r="K13" s="49" t="inlineStr">
        <is>
          <t>AN12-0-4</t>
        </is>
      </c>
    </row>
    <row r="14" ht="21.75" customHeight="1" s="32">
      <c r="A14" s="37" t="inlineStr">
        <is>
          <t>성능 (Performance) — 8건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9" t="n"/>
    </row>
    <row r="15" ht="15" customHeight="1" s="32">
      <c r="A15" s="40" t="n">
        <v>9</v>
      </c>
      <c r="B15" s="40" t="inlineStr">
        <is>
          <t>NFR-PF-CM-001</t>
        </is>
      </c>
      <c r="C15" s="41" t="inlineStr">
        <is>
          <t>성능</t>
        </is>
      </c>
      <c r="D15" s="40" t="inlineStr">
        <is>
          <t>CM</t>
        </is>
      </c>
      <c r="E15" s="42" t="inlineStr">
        <is>
          <t>일반 화면 응답시간 3초 이내</t>
        </is>
      </c>
      <c r="F15" s="42" t="inlineStr">
        <is>
          <t>목록 조회 등 일반 화면 응답 3초 이내</t>
        </is>
      </c>
      <c r="G15" s="50" t="inlineStr">
        <is>
          <t>중</t>
        </is>
      </c>
      <c r="H15" s="41" t="inlineStr">
        <is>
          <t>수용</t>
        </is>
      </c>
      <c r="I15" s="41" t="inlineStr">
        <is>
          <t>전체</t>
        </is>
      </c>
      <c r="J15" s="51" t="inlineStr">
        <is>
          <t>최상</t>
        </is>
      </c>
      <c r="K15" s="45" t="inlineStr">
        <is>
          <t>AN12-0-4</t>
        </is>
      </c>
    </row>
    <row r="16" ht="15" customHeight="1" s="32">
      <c r="A16" s="46" t="n">
        <v>10</v>
      </c>
      <c r="B16" s="46" t="inlineStr">
        <is>
          <t>NFR-PF-PM-001</t>
        </is>
      </c>
      <c r="C16" s="47" t="inlineStr">
        <is>
          <t>성능</t>
        </is>
      </c>
      <c r="D16" s="46" t="inlineStr">
        <is>
          <t>PM</t>
        </is>
      </c>
      <c r="E16" s="49" t="inlineStr">
        <is>
          <t>BOM 트리 1만건 렌더링 5초 이내</t>
        </is>
      </c>
      <c r="F16" s="49" t="inlineStr">
        <is>
          <t>BOM 트리 뷰 1만건 노드 렌더링 5초 이내</t>
        </is>
      </c>
      <c r="G16" s="44" t="inlineStr">
        <is>
          <t>상</t>
        </is>
      </c>
      <c r="H16" s="47" t="inlineStr">
        <is>
          <t>수용</t>
        </is>
      </c>
      <c r="I16" s="46" t="inlineStr">
        <is>
          <t>P1</t>
        </is>
      </c>
      <c r="J16" s="44" t="inlineStr">
        <is>
          <t>상</t>
        </is>
      </c>
      <c r="K16" s="49" t="inlineStr">
        <is>
          <t>AN12-0-4</t>
        </is>
      </c>
    </row>
    <row r="17" ht="15" customHeight="1" s="32">
      <c r="A17" s="40" t="n">
        <v>11</v>
      </c>
      <c r="B17" s="40" t="inlineStr">
        <is>
          <t>NFR-PF-ES-001</t>
        </is>
      </c>
      <c r="C17" s="41" t="inlineStr">
        <is>
          <t>성능</t>
        </is>
      </c>
      <c r="D17" s="40" t="inlineStr">
        <is>
          <t>ES</t>
        </is>
      </c>
      <c r="E17" s="42" t="inlineStr">
        <is>
          <t>대용량 CAD 도면(50MB) 10초 이내 렌더링</t>
        </is>
      </c>
      <c r="F17" s="45" t="inlineStr">
        <is>
          <t>50MB급 CAD 도면 웹 뷰어 10초 이내 렌더링</t>
        </is>
      </c>
      <c r="G17" s="44" t="inlineStr">
        <is>
          <t>상</t>
        </is>
      </c>
      <c r="H17" s="41" t="inlineStr">
        <is>
          <t>수용</t>
        </is>
      </c>
      <c r="I17" s="40" t="inlineStr">
        <is>
          <t>P2</t>
        </is>
      </c>
      <c r="J17" s="51" t="inlineStr">
        <is>
          <t>최상</t>
        </is>
      </c>
      <c r="K17" s="45" t="inlineStr">
        <is>
          <t>AN11-2 핵심#3</t>
        </is>
      </c>
    </row>
    <row r="18" ht="15" customHeight="1" s="32">
      <c r="A18" s="46" t="n">
        <v>12</v>
      </c>
      <c r="B18" s="46" t="inlineStr">
        <is>
          <t>NFR-PF-CM-002</t>
        </is>
      </c>
      <c r="C18" s="47" t="inlineStr">
        <is>
          <t>성능</t>
        </is>
      </c>
      <c r="D18" s="46" t="inlineStr">
        <is>
          <t>CM</t>
        </is>
      </c>
      <c r="E18" s="48" t="inlineStr">
        <is>
          <t>동시접속 30인 기준 안정성 보장</t>
        </is>
      </c>
      <c r="F18" s="48" t="inlineStr">
        <is>
          <t>동시접속 30인 환경 안정적 운영 보장</t>
        </is>
      </c>
      <c r="G18" s="50" t="inlineStr">
        <is>
          <t>중</t>
        </is>
      </c>
      <c r="H18" s="47" t="inlineStr">
        <is>
          <t>수용</t>
        </is>
      </c>
      <c r="I18" s="47" t="inlineStr">
        <is>
          <t>전체</t>
        </is>
      </c>
      <c r="J18" s="44" t="inlineStr">
        <is>
          <t>상</t>
        </is>
      </c>
      <c r="K18" s="49" t="inlineStr">
        <is>
          <t>AN12-0-4</t>
        </is>
      </c>
    </row>
    <row r="19" ht="15" customHeight="1" s="32">
      <c r="A19" s="40" t="n">
        <v>13</v>
      </c>
      <c r="B19" s="40" t="inlineStr">
        <is>
          <t>NFR-PF-PM-002</t>
        </is>
      </c>
      <c r="C19" s="41" t="inlineStr">
        <is>
          <t>성능</t>
        </is>
      </c>
      <c r="D19" s="40" t="inlineStr">
        <is>
          <t>PM</t>
        </is>
      </c>
      <c r="E19" s="45" t="inlineStr">
        <is>
          <t>MES REST API 응답시간 2초 이내</t>
        </is>
      </c>
      <c r="F19" s="45" t="inlineStr">
        <is>
          <t>MES 연동 REST API 응답 2초 이내</t>
        </is>
      </c>
      <c r="G19" s="50" t="inlineStr">
        <is>
          <t>중</t>
        </is>
      </c>
      <c r="H19" s="41" t="inlineStr">
        <is>
          <t>수용</t>
        </is>
      </c>
      <c r="I19" s="40" t="inlineStr">
        <is>
          <t>P1</t>
        </is>
      </c>
      <c r="J19" s="44" t="inlineStr">
        <is>
          <t>상</t>
        </is>
      </c>
      <c r="K19" s="45" t="inlineStr">
        <is>
          <t>AN12-0-4</t>
        </is>
      </c>
    </row>
    <row r="20" ht="15" customHeight="1" s="32">
      <c r="A20" s="46" t="n">
        <v>14</v>
      </c>
      <c r="B20" s="46" t="inlineStr">
        <is>
          <t>NFR-PF-FS-001</t>
        </is>
      </c>
      <c r="C20" s="47" t="inlineStr">
        <is>
          <t>성능</t>
        </is>
      </c>
      <c r="D20" s="46" t="inlineStr">
        <is>
          <t>FS</t>
        </is>
      </c>
      <c r="E20" s="49" t="inlineStr">
        <is>
          <t>BLE 측정값 수신 지연 200ms 이내</t>
        </is>
      </c>
      <c r="F20" s="49" t="inlineStr">
        <is>
          <t>BLE 장치 측정값 수신 지연 200ms 이내</t>
        </is>
      </c>
      <c r="G20" s="50" t="inlineStr">
        <is>
          <t>중</t>
        </is>
      </c>
      <c r="H20" s="47" t="inlineStr">
        <is>
          <t>수용</t>
        </is>
      </c>
      <c r="I20" s="46" t="inlineStr">
        <is>
          <t>P2</t>
        </is>
      </c>
      <c r="J20" s="44" t="inlineStr">
        <is>
          <t>상</t>
        </is>
      </c>
      <c r="K20" s="49" t="inlineStr">
        <is>
          <t>AN12-0-4</t>
        </is>
      </c>
    </row>
    <row r="21" ht="15" customHeight="1" s="32">
      <c r="A21" s="40" t="n">
        <v>15</v>
      </c>
      <c r="B21" s="40" t="inlineStr">
        <is>
          <t>NFR-PF-FS-002</t>
        </is>
      </c>
      <c r="C21" s="41" t="inlineStr">
        <is>
          <t>성능</t>
        </is>
      </c>
      <c r="D21" s="40" t="inlineStr">
        <is>
          <t>FS</t>
        </is>
      </c>
      <c r="E21" s="42" t="inlineStr">
        <is>
          <t>오프라인→온라인 전환 시 30초 내 동기화</t>
        </is>
      </c>
      <c r="F21" s="42" t="inlineStr">
        <is>
          <t>네트워크 복구 시 30초 이내 자동 동기화</t>
        </is>
      </c>
      <c r="G21" s="50" t="inlineStr">
        <is>
          <t>중</t>
        </is>
      </c>
      <c r="H21" s="41" t="inlineStr">
        <is>
          <t>수용</t>
        </is>
      </c>
      <c r="I21" s="40" t="inlineStr">
        <is>
          <t>P2</t>
        </is>
      </c>
      <c r="J21" s="44" t="inlineStr">
        <is>
          <t>상</t>
        </is>
      </c>
      <c r="K21" s="45" t="inlineStr">
        <is>
          <t>AN12-0-4</t>
        </is>
      </c>
    </row>
    <row r="22" ht="15" customHeight="1" s="32">
      <c r="A22" s="46" t="n">
        <v>16</v>
      </c>
      <c r="B22" s="46" t="inlineStr">
        <is>
          <t>NFR-PF-OM-001</t>
        </is>
      </c>
      <c r="C22" s="47" t="inlineStr">
        <is>
          <t>성능</t>
        </is>
      </c>
      <c r="D22" s="46" t="inlineStr">
        <is>
          <t>OM</t>
        </is>
      </c>
      <c r="E22" s="48" t="inlineStr">
        <is>
          <t>최적절단 알고리즘 30초 이내 완료</t>
        </is>
      </c>
      <c r="F22" s="49" t="inlineStr">
        <is>
          <t>1,000개소 기준 최적절단 계산 30초 이내</t>
        </is>
      </c>
      <c r="G22" s="44" t="inlineStr">
        <is>
          <t>상</t>
        </is>
      </c>
      <c r="H22" s="47" t="inlineStr">
        <is>
          <t>수용</t>
        </is>
      </c>
      <c r="I22" s="46" t="inlineStr">
        <is>
          <t>P2</t>
        </is>
      </c>
      <c r="J22" s="44" t="inlineStr">
        <is>
          <t>상</t>
        </is>
      </c>
      <c r="K22" s="49" t="inlineStr">
        <is>
          <t>AN12-0-4</t>
        </is>
      </c>
    </row>
    <row r="23" ht="21.75" customHeight="1" s="32">
      <c r="A23" s="37" t="inlineStr">
        <is>
          <t>사용성 (Usability) — 8건</t>
        </is>
      </c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9" t="n"/>
    </row>
    <row r="24" ht="15" customHeight="1" s="32">
      <c r="A24" s="40" t="n">
        <v>17</v>
      </c>
      <c r="B24" s="40" t="inlineStr">
        <is>
          <t>NFR-US-CM-001</t>
        </is>
      </c>
      <c r="C24" s="41" t="inlineStr">
        <is>
          <t>사용성</t>
        </is>
      </c>
      <c r="D24" s="40" t="inlineStr">
        <is>
          <t>CM</t>
        </is>
      </c>
      <c r="E24" s="42" t="inlineStr">
        <is>
          <t>현행 UI 룩앤필 계승</t>
        </is>
      </c>
      <c r="F24" s="42" t="inlineStr">
        <is>
          <t>현행 WIMS UI 패턴 계승, 이질감 최소화</t>
        </is>
      </c>
      <c r="G24" s="50" t="inlineStr">
        <is>
          <t>중</t>
        </is>
      </c>
      <c r="H24" s="41" t="inlineStr">
        <is>
          <t>수용</t>
        </is>
      </c>
      <c r="I24" s="41" t="inlineStr">
        <is>
          <t>전체</t>
        </is>
      </c>
      <c r="J24" s="51" t="inlineStr">
        <is>
          <t>최상</t>
        </is>
      </c>
      <c r="K24" s="45" t="inlineStr">
        <is>
          <t>AN11-2 도입우려</t>
        </is>
      </c>
    </row>
    <row r="25" ht="15" customHeight="1" s="32">
      <c r="A25" s="46" t="n">
        <v>18</v>
      </c>
      <c r="B25" s="46" t="inlineStr">
        <is>
          <t>NFR-US-CM-002</t>
        </is>
      </c>
      <c r="C25" s="47" t="inlineStr">
        <is>
          <t>사용성</t>
        </is>
      </c>
      <c r="D25" s="46" t="inlineStr">
        <is>
          <t>CM</t>
        </is>
      </c>
      <c r="E25" s="48" t="inlineStr">
        <is>
          <t>멀티탭/멀티윈도우 지원</t>
        </is>
      </c>
      <c r="F25" s="48" t="inlineStr">
        <is>
          <t>여러 프로젝트·견적 동시 탭/윈도우 작업</t>
        </is>
      </c>
      <c r="G25" s="50" t="inlineStr">
        <is>
          <t>중</t>
        </is>
      </c>
      <c r="H25" s="47" t="inlineStr">
        <is>
          <t>수용</t>
        </is>
      </c>
      <c r="I25" s="47" t="inlineStr">
        <is>
          <t>전체</t>
        </is>
      </c>
      <c r="J25" s="44" t="inlineStr">
        <is>
          <t>상</t>
        </is>
      </c>
      <c r="K25" s="49" t="inlineStr">
        <is>
          <t>AN11-2</t>
        </is>
      </c>
    </row>
    <row r="26" ht="15" customHeight="1" s="32">
      <c r="A26" s="46" t="n">
        <v>19</v>
      </c>
      <c r="B26" s="46" t="inlineStr">
        <is>
          <t>NFR-US-CM-004</t>
        </is>
      </c>
      <c r="C26" s="47" t="inlineStr">
        <is>
          <t>사용성</t>
        </is>
      </c>
      <c r="D26" s="46" t="inlineStr">
        <is>
          <t>CM</t>
        </is>
      </c>
      <c r="E26" s="48" t="inlineStr">
        <is>
          <t>반응형 레이아웃 지원</t>
        </is>
      </c>
      <c r="F26" s="48" t="inlineStr">
        <is>
          <t>다양한 화면 해상도 적절한 레이아웃</t>
        </is>
      </c>
      <c r="G26" s="50" t="inlineStr">
        <is>
          <t>중</t>
        </is>
      </c>
      <c r="H26" s="47" t="inlineStr">
        <is>
          <t>수용</t>
        </is>
      </c>
      <c r="I26" s="47" t="inlineStr">
        <is>
          <t>전체</t>
        </is>
      </c>
      <c r="J26" s="44" t="inlineStr">
        <is>
          <t>상</t>
        </is>
      </c>
      <c r="K26" s="49" t="inlineStr">
        <is>
          <t>AN12-0-4</t>
        </is>
      </c>
    </row>
    <row r="27" ht="15" customHeight="1" s="32">
      <c r="A27" s="40" t="n">
        <v>20</v>
      </c>
      <c r="B27" s="40" t="inlineStr">
        <is>
          <t>NFR-US-FS-001</t>
        </is>
      </c>
      <c r="C27" s="41" t="inlineStr">
        <is>
          <t>사용성</t>
        </is>
      </c>
      <c r="D27" s="40" t="inlineStr">
        <is>
          <t>FS</t>
        </is>
      </c>
      <c r="E27" s="42" t="inlineStr">
        <is>
          <t>대형 버튼 및 터치 친화적 UI</t>
        </is>
      </c>
      <c r="F27" s="42" t="inlineStr">
        <is>
          <t>현장 환경 고려 대형 버튼·터치 친화 UI</t>
        </is>
      </c>
      <c r="G27" s="43" t="inlineStr">
        <is>
          <t>하</t>
        </is>
      </c>
      <c r="H27" s="41" t="inlineStr">
        <is>
          <t>수용</t>
        </is>
      </c>
      <c r="I27" s="40" t="inlineStr">
        <is>
          <t>P2</t>
        </is>
      </c>
      <c r="J27" s="44" t="inlineStr">
        <is>
          <t>상</t>
        </is>
      </c>
      <c r="K27" s="45" t="inlineStr">
        <is>
          <t>AN12-0-4</t>
        </is>
      </c>
    </row>
    <row r="28" ht="15" customHeight="1" s="32">
      <c r="A28" s="46" t="n">
        <v>21</v>
      </c>
      <c r="B28" s="46" t="inlineStr">
        <is>
          <t>NFR-US-FS-002</t>
        </is>
      </c>
      <c r="C28" s="47" t="inlineStr">
        <is>
          <t>사용성</t>
        </is>
      </c>
      <c r="D28" s="46" t="inlineStr">
        <is>
          <t>FS</t>
        </is>
      </c>
      <c r="E28" s="48" t="inlineStr">
        <is>
          <t>고대비(High Contrast) 모드</t>
        </is>
      </c>
      <c r="F28" s="48" t="inlineStr">
        <is>
          <t>야외 가독성 좋은 고대비 모드</t>
        </is>
      </c>
      <c r="G28" s="43" t="inlineStr">
        <is>
          <t>하</t>
        </is>
      </c>
      <c r="H28" s="47" t="inlineStr">
        <is>
          <t>수용</t>
        </is>
      </c>
      <c r="I28" s="46" t="inlineStr">
        <is>
          <t>P2</t>
        </is>
      </c>
      <c r="J28" s="47" t="inlineStr">
        <is>
          <t>중</t>
        </is>
      </c>
      <c r="K28" s="49" t="inlineStr">
        <is>
          <t>AN12-0-4</t>
        </is>
      </c>
    </row>
    <row r="29" ht="15" customHeight="1" s="32">
      <c r="A29" s="40" t="n">
        <v>22</v>
      </c>
      <c r="B29" s="40" t="inlineStr">
        <is>
          <t>NFR-US-CM-005</t>
        </is>
      </c>
      <c r="C29" s="41" t="inlineStr">
        <is>
          <t>사용성</t>
        </is>
      </c>
      <c r="D29" s="40" t="inlineStr">
        <is>
          <t>CM</t>
        </is>
      </c>
      <c r="E29" s="42" t="inlineStr">
        <is>
          <t>사용자 교육 자료 및 도움말 제공</t>
        </is>
      </c>
      <c r="F29" s="42" t="inlineStr">
        <is>
          <t>신규 시스템 교육 자료/컨텍스트 도움말</t>
        </is>
      </c>
      <c r="G29" s="43" t="inlineStr">
        <is>
          <t>하</t>
        </is>
      </c>
      <c r="H29" s="41" t="inlineStr">
        <is>
          <t>수용</t>
        </is>
      </c>
      <c r="I29" s="41" t="inlineStr">
        <is>
          <t>전체</t>
        </is>
      </c>
      <c r="J29" s="44" t="inlineStr">
        <is>
          <t>상</t>
        </is>
      </c>
      <c r="K29" s="45" t="inlineStr">
        <is>
          <t>AN11-2 도입우려</t>
        </is>
      </c>
    </row>
    <row r="30" ht="15" customHeight="1" s="32">
      <c r="A30" s="46" t="n">
        <v>23</v>
      </c>
      <c r="B30" s="46" t="inlineStr">
        <is>
          <t>NFR-US-ES-001</t>
        </is>
      </c>
      <c r="C30" s="47" t="inlineStr">
        <is>
          <t>사용성</t>
        </is>
      </c>
      <c r="D30" s="46" t="inlineStr">
        <is>
          <t>ES</t>
        </is>
      </c>
      <c r="E30" s="48" t="inlineStr">
        <is>
          <t>모바일 견적 조회 UI</t>
        </is>
      </c>
      <c r="F30" s="48" t="inlineStr">
        <is>
          <t>모바일 환경 견적 정보 반응형 UI</t>
        </is>
      </c>
      <c r="G30" s="50" t="inlineStr">
        <is>
          <t>중</t>
        </is>
      </c>
      <c r="H30" s="47" t="inlineStr">
        <is>
          <t>일부수용</t>
        </is>
      </c>
      <c r="I30" s="46" t="inlineStr">
        <is>
          <t>P2</t>
        </is>
      </c>
      <c r="J30" s="47" t="inlineStr">
        <is>
          <t>하</t>
        </is>
      </c>
      <c r="K30" s="49" t="inlineStr">
        <is>
          <t>AN11-2</t>
        </is>
      </c>
    </row>
    <row r="31" ht="15" customHeight="1" s="32">
      <c r="A31" s="37" t="inlineStr">
        <is>
          <t>신뢰성 (Reliability) — 5건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9" t="n"/>
    </row>
    <row r="32" ht="21.75" customHeight="1" s="32">
      <c r="A32" s="40" t="n">
        <v>24</v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9" t="n"/>
    </row>
    <row r="33" ht="15" customHeight="1" s="32">
      <c r="A33" s="46" t="n">
        <v>24</v>
      </c>
      <c r="B33" s="46" t="inlineStr">
        <is>
          <t>NFR-RL-FS-002</t>
        </is>
      </c>
      <c r="C33" s="47" t="inlineStr">
        <is>
          <t>신뢰성</t>
        </is>
      </c>
      <c r="D33" s="46" t="inlineStr">
        <is>
          <t>FS</t>
        </is>
      </c>
      <c r="E33" s="48" t="inlineStr">
        <is>
          <t>자동 동기화 및 충돌 해결 (타임스탬프 기반)</t>
        </is>
      </c>
      <c r="F33" s="48" t="inlineStr">
        <is>
          <t>온라인 복귀 시 자동 동기화, 타임스탬프 기반 충돌 해결</t>
        </is>
      </c>
      <c r="G33" s="44" t="inlineStr">
        <is>
          <t>상</t>
        </is>
      </c>
      <c r="H33" s="47" t="inlineStr">
        <is>
          <t>수용</t>
        </is>
      </c>
      <c r="I33" s="46" t="inlineStr">
        <is>
          <t>P2</t>
        </is>
      </c>
      <c r="J33" s="44" t="inlineStr">
        <is>
          <t>상</t>
        </is>
      </c>
      <c r="K33" s="49" t="inlineStr">
        <is>
          <t>AN12-0-4</t>
        </is>
      </c>
    </row>
    <row r="34" ht="15" customHeight="1" s="32">
      <c r="A34" s="40" t="n">
        <v>25</v>
      </c>
      <c r="B34" s="40" t="inlineStr">
        <is>
          <t>NFR-RL-CM-001</t>
        </is>
      </c>
      <c r="C34" s="41" t="inlineStr">
        <is>
          <t>신뢰성</t>
        </is>
      </c>
      <c r="D34" s="40" t="inlineStr">
        <is>
          <t>CM</t>
        </is>
      </c>
      <c r="E34" s="42" t="inlineStr">
        <is>
          <t>장애 발생 시 즉시 복구</t>
        </is>
      </c>
      <c r="F34" s="42" t="inlineStr">
        <is>
          <t>서버 장애 시 자동 재시작/서비스 복구</t>
        </is>
      </c>
      <c r="G34" s="50" t="inlineStr">
        <is>
          <t>중</t>
        </is>
      </c>
      <c r="H34" s="41" t="inlineStr">
        <is>
          <t>수용</t>
        </is>
      </c>
      <c r="I34" s="41" t="inlineStr">
        <is>
          <t>전체</t>
        </is>
      </c>
      <c r="J34" s="51" t="inlineStr">
        <is>
          <t>최상</t>
        </is>
      </c>
      <c r="K34" s="45" t="inlineStr">
        <is>
          <t>AN12-0-4</t>
        </is>
      </c>
    </row>
    <row r="35" ht="15" customHeight="1" s="32">
      <c r="A35" s="46" t="n">
        <v>26</v>
      </c>
      <c r="B35" s="46" t="inlineStr">
        <is>
          <t>NFR-RL-CM-002</t>
        </is>
      </c>
      <c r="C35" s="47" t="inlineStr">
        <is>
          <t>신뢰성</t>
        </is>
      </c>
      <c r="D35" s="46" t="inlineStr">
        <is>
          <t>CM</t>
        </is>
      </c>
      <c r="E35" s="48" t="inlineStr">
        <is>
          <t>일일 백업 및 복원 절차</t>
        </is>
      </c>
      <c r="F35" s="48" t="inlineStr">
        <is>
          <t>매일 자동 백업 수행 및 복원 절차 수립</t>
        </is>
      </c>
      <c r="G35" s="43" t="inlineStr">
        <is>
          <t>하</t>
        </is>
      </c>
      <c r="H35" s="47" t="inlineStr">
        <is>
          <t>수용</t>
        </is>
      </c>
      <c r="I35" s="47" t="inlineStr">
        <is>
          <t>전체</t>
        </is>
      </c>
      <c r="J35" s="44" t="inlineStr">
        <is>
          <t>상</t>
        </is>
      </c>
      <c r="K35" s="49" t="inlineStr">
        <is>
          <t>AN12-0-4</t>
        </is>
      </c>
    </row>
    <row r="36" ht="15" customHeight="1" s="32">
      <c r="A36" s="40" t="n">
        <v>27</v>
      </c>
      <c r="B36" s="40" t="inlineStr">
        <is>
          <t>NFR-RL-FS-004</t>
        </is>
      </c>
      <c r="C36" s="41" t="inlineStr">
        <is>
          <t>신뢰성</t>
        </is>
      </c>
      <c r="D36" s="40" t="inlineStr">
        <is>
          <t>FS</t>
        </is>
      </c>
      <c r="E36" s="45" t="inlineStr">
        <is>
          <t>BLE 연결 끊김 시 자동 재연결</t>
        </is>
      </c>
      <c r="F36" s="45" t="inlineStr">
        <is>
          <t>BLE 연결 끊어지면 자동 재연결 시도</t>
        </is>
      </c>
      <c r="G36" s="50" t="inlineStr">
        <is>
          <t>중</t>
        </is>
      </c>
      <c r="H36" s="41" t="inlineStr">
        <is>
          <t>수용</t>
        </is>
      </c>
      <c r="I36" s="40" t="inlineStr">
        <is>
          <t>P2</t>
        </is>
      </c>
      <c r="J36" s="44" t="inlineStr">
        <is>
          <t>상</t>
        </is>
      </c>
      <c r="K36" s="45" t="inlineStr">
        <is>
          <t>AN12-0-4</t>
        </is>
      </c>
    </row>
    <row r="37" ht="15" customHeight="1" s="32">
      <c r="A37" s="37" t="inlineStr">
        <is>
          <t>인터페이스 (Interface) — 6건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9" t="n"/>
    </row>
    <row r="38" ht="21.75" customHeight="1" s="32">
      <c r="A38" s="46" t="n">
        <v>29</v>
      </c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9" t="n"/>
    </row>
    <row r="39" ht="15" customHeight="1" s="32">
      <c r="A39" s="40" t="n">
        <v>28</v>
      </c>
      <c r="B39" s="40" t="inlineStr">
        <is>
          <t>NFR-IF-PM-002</t>
        </is>
      </c>
      <c r="C39" s="41" t="inlineStr">
        <is>
          <t>인터페이스</t>
        </is>
      </c>
      <c r="D39" s="40" t="inlineStr">
        <is>
          <t>PM</t>
        </is>
      </c>
      <c r="E39" s="45" t="inlineStr">
        <is>
          <t>API 버전 관리 (Semantic Versioning)</t>
        </is>
      </c>
      <c r="F39" s="45" t="inlineStr">
        <is>
          <t>API 변경 시 하위 호환성 유지, Semantic Versioning</t>
        </is>
      </c>
      <c r="G39" s="50" t="inlineStr">
        <is>
          <t>중</t>
        </is>
      </c>
      <c r="H39" s="41" t="inlineStr">
        <is>
          <t>수용</t>
        </is>
      </c>
      <c r="I39" s="40" t="inlineStr">
        <is>
          <t>P1</t>
        </is>
      </c>
      <c r="J39" s="44" t="inlineStr">
        <is>
          <t>상</t>
        </is>
      </c>
      <c r="K39" s="45" t="inlineStr">
        <is>
          <t>AN12-0-4</t>
        </is>
      </c>
    </row>
    <row r="40" ht="15" customHeight="1" s="32">
      <c r="A40" s="46" t="n">
        <v>29</v>
      </c>
      <c r="B40" s="46" t="inlineStr">
        <is>
          <t>NFR-IF-PM-003</t>
        </is>
      </c>
      <c r="C40" s="47" t="inlineStr">
        <is>
          <t>인터페이스</t>
        </is>
      </c>
      <c r="D40" s="46" t="inlineStr">
        <is>
          <t>PM</t>
        </is>
      </c>
      <c r="E40" s="48" t="inlineStr">
        <is>
          <t>데이터 캡슐화 (DTO 기반 I/O)</t>
        </is>
      </c>
      <c r="F40" s="49" t="inlineStr">
        <is>
          <t>API 입출력 DTO 기반 캡슐화, 내부 구조 비노출</t>
        </is>
      </c>
      <c r="G40" s="43" t="inlineStr">
        <is>
          <t>하</t>
        </is>
      </c>
      <c r="H40" s="47" t="inlineStr">
        <is>
          <t>수용</t>
        </is>
      </c>
      <c r="I40" s="46" t="inlineStr">
        <is>
          <t>P1</t>
        </is>
      </c>
      <c r="J40" s="44" t="inlineStr">
        <is>
          <t>상</t>
        </is>
      </c>
      <c r="K40" s="49" t="inlineStr">
        <is>
          <t>AN12-0-4</t>
        </is>
      </c>
    </row>
    <row r="41" ht="15" customHeight="1" s="32">
      <c r="A41" s="40" t="n">
        <v>30</v>
      </c>
      <c r="B41" s="40" t="inlineStr">
        <is>
          <t>NFR-IF-FS-001</t>
        </is>
      </c>
      <c r="C41" s="41" t="inlineStr">
        <is>
          <t>인터페이스</t>
        </is>
      </c>
      <c r="D41" s="40" t="inlineStr">
        <is>
          <t>FS</t>
        </is>
      </c>
      <c r="E41" s="45" t="inlineStr">
        <is>
          <t>BLE GATT 프로파일 규격 정의</t>
        </is>
      </c>
      <c r="F41" s="45" t="inlineStr">
        <is>
          <t>BLE 장치 연동 GATT 프로파일/프로토콜 규격 정의</t>
        </is>
      </c>
      <c r="G41" s="50" t="inlineStr">
        <is>
          <t>중</t>
        </is>
      </c>
      <c r="H41" s="41" t="inlineStr">
        <is>
          <t>수용</t>
        </is>
      </c>
      <c r="I41" s="40" t="inlineStr">
        <is>
          <t>P2</t>
        </is>
      </c>
      <c r="J41" s="44" t="inlineStr">
        <is>
          <t>상</t>
        </is>
      </c>
      <c r="K41" s="45" t="inlineStr">
        <is>
          <t>AN12-0-4</t>
        </is>
      </c>
    </row>
    <row r="42" ht="15" customHeight="1" s="32">
      <c r="A42" s="46" t="n">
        <v>31</v>
      </c>
      <c r="B42" s="46" t="inlineStr">
        <is>
          <t>NFR-IF-FS-002</t>
        </is>
      </c>
      <c r="C42" s="47" t="inlineStr">
        <is>
          <t>인터페이스</t>
        </is>
      </c>
      <c r="D42" s="46" t="inlineStr">
        <is>
          <t>FS</t>
        </is>
      </c>
      <c r="E42" s="48" t="inlineStr">
        <is>
          <t>모바일 앱↔서버 REST API 규격</t>
        </is>
      </c>
      <c r="F42" s="48" t="inlineStr">
        <is>
          <t>앱↔서버 REST API 규격(인증, 동기화, 전송) 정의</t>
        </is>
      </c>
      <c r="G42" s="50" t="inlineStr">
        <is>
          <t>중</t>
        </is>
      </c>
      <c r="H42" s="47" t="inlineStr">
        <is>
          <t>수용</t>
        </is>
      </c>
      <c r="I42" s="46" t="inlineStr">
        <is>
          <t>P2</t>
        </is>
      </c>
      <c r="J42" s="44" t="inlineStr">
        <is>
          <t>상</t>
        </is>
      </c>
      <c r="K42" s="49" t="inlineStr">
        <is>
          <t>AN12-0-4</t>
        </is>
      </c>
    </row>
    <row r="43" ht="15" customHeight="1" s="32">
      <c r="A43" s="40" t="n">
        <v>32</v>
      </c>
      <c r="B43" s="40" t="inlineStr">
        <is>
          <t>NFR-IF-CM-001</t>
        </is>
      </c>
      <c r="C43" s="41" t="inlineStr">
        <is>
          <t>인터페이스</t>
        </is>
      </c>
      <c r="D43" s="40" t="inlineStr">
        <is>
          <t>CM</t>
        </is>
      </c>
      <c r="E43" s="42" t="inlineStr">
        <is>
          <t>향후 MES 연동 확장 인터페이스 설계</t>
        </is>
      </c>
      <c r="F43" s="42" t="inlineStr">
        <is>
          <t>향후 MES 연동 고려 확장 가능 인터페이스 설계</t>
        </is>
      </c>
      <c r="G43" s="50" t="inlineStr">
        <is>
          <t>중</t>
        </is>
      </c>
      <c r="H43" s="41" t="inlineStr">
        <is>
          <t>수용</t>
        </is>
      </c>
      <c r="I43" s="41" t="inlineStr">
        <is>
          <t>전체</t>
        </is>
      </c>
      <c r="J43" s="41" t="inlineStr">
        <is>
          <t>중</t>
        </is>
      </c>
      <c r="K43" s="45" t="inlineStr">
        <is>
          <t>AN12-0-4</t>
        </is>
      </c>
    </row>
    <row r="44" ht="15" customHeight="1" s="32">
      <c r="A44" s="37" t="inlineStr">
        <is>
          <t>데이터 (Data) — 5건</t>
        </is>
      </c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9" t="n"/>
    </row>
    <row r="45" ht="21.75" customHeight="1" s="32">
      <c r="A45" s="46" t="n">
        <v>35</v>
      </c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9" t="n"/>
    </row>
    <row r="46" ht="15" customHeight="1" s="32">
      <c r="A46" s="40" t="n">
        <v>33</v>
      </c>
      <c r="B46" s="40" t="inlineStr">
        <is>
          <t>NFR-DA-PM-002</t>
        </is>
      </c>
      <c r="C46" s="41" t="inlineStr">
        <is>
          <t>데이터</t>
        </is>
      </c>
      <c r="D46" s="40" t="inlineStr">
        <is>
          <t>PM</t>
        </is>
      </c>
      <c r="E46" s="42" t="inlineStr">
        <is>
          <t>마이그레이션 데이터 검증 절차</t>
        </is>
      </c>
      <c r="F46" s="42" t="inlineStr">
        <is>
          <t>이관 데이터 정합성 검증 절차 수립/실행</t>
        </is>
      </c>
      <c r="G46" s="50" t="inlineStr">
        <is>
          <t>중</t>
        </is>
      </c>
      <c r="H46" s="41" t="inlineStr">
        <is>
          <t>수용</t>
        </is>
      </c>
      <c r="I46" s="40" t="inlineStr">
        <is>
          <t>P1</t>
        </is>
      </c>
      <c r="J46" s="51" t="inlineStr">
        <is>
          <t>최상</t>
        </is>
      </c>
      <c r="K46" s="45" t="inlineStr">
        <is>
          <t>AN12-0-4</t>
        </is>
      </c>
    </row>
    <row r="47" ht="15" customHeight="1" s="32">
      <c r="A47" s="46" t="n">
        <v>34</v>
      </c>
      <c r="B47" s="46" t="inlineStr">
        <is>
          <t>NFR-DA-PM-003</t>
        </is>
      </c>
      <c r="C47" s="47" t="inlineStr">
        <is>
          <t>데이터</t>
        </is>
      </c>
      <c r="D47" s="46" t="inlineStr">
        <is>
          <t>PM</t>
        </is>
      </c>
      <c r="E47" s="48" t="inlineStr">
        <is>
          <t>코드 체계 표준화 매핑</t>
        </is>
      </c>
      <c r="F47" s="48" t="inlineStr">
        <is>
          <t>기존 자재·제품 코드 → 신규 코드 체계 매핑</t>
        </is>
      </c>
      <c r="G47" s="50" t="inlineStr">
        <is>
          <t>중</t>
        </is>
      </c>
      <c r="H47" s="47" t="inlineStr">
        <is>
          <t>수용</t>
        </is>
      </c>
      <c r="I47" s="46" t="inlineStr">
        <is>
          <t>P1</t>
        </is>
      </c>
      <c r="J47" s="44" t="inlineStr">
        <is>
          <t>상</t>
        </is>
      </c>
      <c r="K47" s="49" t="inlineStr">
        <is>
          <t>AN12-0-4</t>
        </is>
      </c>
    </row>
    <row r="48" ht="15" customHeight="1" s="32">
      <c r="A48" s="40" t="n">
        <v>35</v>
      </c>
      <c r="B48" s="40" t="inlineStr">
        <is>
          <t>NFR-DA-CM-001</t>
        </is>
      </c>
      <c r="C48" s="41" t="inlineStr">
        <is>
          <t>데이터</t>
        </is>
      </c>
      <c r="D48" s="40" t="inlineStr">
        <is>
          <t>CM</t>
        </is>
      </c>
      <c r="E48" s="42" t="inlineStr">
        <is>
          <t>데이터 정합성 검증 (FK, 제약조건)</t>
        </is>
      </c>
      <c r="F48" s="45" t="inlineStr">
        <is>
          <t>DB FK/제약조건으로 데이터 정합성 보장</t>
        </is>
      </c>
      <c r="G48" s="43" t="inlineStr">
        <is>
          <t>하</t>
        </is>
      </c>
      <c r="H48" s="41" t="inlineStr">
        <is>
          <t>수용</t>
        </is>
      </c>
      <c r="I48" s="41" t="inlineStr">
        <is>
          <t>전체</t>
        </is>
      </c>
      <c r="J48" s="44" t="inlineStr">
        <is>
          <t>상</t>
        </is>
      </c>
      <c r="K48" s="45" t="inlineStr">
        <is>
          <t>AN12-0-4</t>
        </is>
      </c>
    </row>
    <row r="49" ht="15" customHeight="1" s="32">
      <c r="A49" s="46" t="n">
        <v>36</v>
      </c>
      <c r="B49" s="46" t="inlineStr">
        <is>
          <t>NFR-DA-CM-002</t>
        </is>
      </c>
      <c r="C49" s="47" t="inlineStr">
        <is>
          <t>데이터</t>
        </is>
      </c>
      <c r="D49" s="46" t="inlineStr">
        <is>
          <t>CM</t>
        </is>
      </c>
      <c r="E49" s="48" t="inlineStr">
        <is>
          <t>병행운영 기간 데이터 동기화</t>
        </is>
      </c>
      <c r="F49" s="48" t="inlineStr">
        <is>
          <t>신·구 시스템 병행운영 기간 데이터 동기화 방안</t>
        </is>
      </c>
      <c r="G49" s="44" t="inlineStr">
        <is>
          <t>상</t>
        </is>
      </c>
      <c r="H49" s="47" t="inlineStr">
        <is>
          <t>수용</t>
        </is>
      </c>
      <c r="I49" s="47" t="inlineStr">
        <is>
          <t>전체</t>
        </is>
      </c>
      <c r="J49" s="51" t="inlineStr">
        <is>
          <t>최상</t>
        </is>
      </c>
      <c r="K49" s="49" t="inlineStr">
        <is>
          <t>AN11-2 도입우려</t>
        </is>
      </c>
    </row>
    <row r="50" ht="15" customHeight="1" s="32">
      <c r="A50" s="37" t="inlineStr">
        <is>
          <t>이식성 (Portability) — 4건</t>
        </is>
      </c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9" t="n"/>
    </row>
    <row r="51" ht="21.75" customHeight="1" s="32">
      <c r="A51" s="40" t="n">
        <v>40</v>
      </c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9" t="n"/>
    </row>
    <row r="52" ht="15" customHeight="1" s="32">
      <c r="A52" s="46" t="n">
        <v>37</v>
      </c>
      <c r="B52" s="46" t="inlineStr">
        <is>
          <t>NFR-PT-FS-001</t>
        </is>
      </c>
      <c r="C52" s="47" t="inlineStr">
        <is>
          <t>이식성</t>
        </is>
      </c>
      <c r="D52" s="46" t="inlineStr">
        <is>
          <t>FS</t>
        </is>
      </c>
      <c r="E52" s="49" t="inlineStr">
        <is>
          <t>Android 10+(API 29) 지원</t>
        </is>
      </c>
      <c r="F52" s="49" t="inlineStr">
        <is>
          <t>Android 10 이상 앱 정상 동작</t>
        </is>
      </c>
      <c r="G52" s="43" t="inlineStr">
        <is>
          <t>하</t>
        </is>
      </c>
      <c r="H52" s="47" t="inlineStr">
        <is>
          <t>수용</t>
        </is>
      </c>
      <c r="I52" s="46" t="inlineStr">
        <is>
          <t>P2</t>
        </is>
      </c>
      <c r="J52" s="44" t="inlineStr">
        <is>
          <t>상</t>
        </is>
      </c>
      <c r="K52" s="48" t="inlineStr">
        <is>
          <t>개발계획서</t>
        </is>
      </c>
    </row>
    <row r="53" ht="15" customHeight="1" s="32">
      <c r="A53" s="40" t="n">
        <v>38</v>
      </c>
      <c r="B53" s="40" t="inlineStr">
        <is>
          <t>NFR-PT-FS-002</t>
        </is>
      </c>
      <c r="C53" s="41" t="inlineStr">
        <is>
          <t>이식성</t>
        </is>
      </c>
      <c r="D53" s="40" t="inlineStr">
        <is>
          <t>FS</t>
        </is>
      </c>
      <c r="E53" s="45" t="inlineStr">
        <is>
          <t>BLE 4.2+ 장치 호환성</t>
        </is>
      </c>
      <c r="F53" s="45" t="inlineStr">
        <is>
          <t>BLE 4.2+ 장치 호환성 보장</t>
        </is>
      </c>
      <c r="G53" s="43" t="inlineStr">
        <is>
          <t>하</t>
        </is>
      </c>
      <c r="H53" s="41" t="inlineStr">
        <is>
          <t>수용</t>
        </is>
      </c>
      <c r="I53" s="40" t="inlineStr">
        <is>
          <t>P2</t>
        </is>
      </c>
      <c r="J53" s="44" t="inlineStr">
        <is>
          <t>상</t>
        </is>
      </c>
      <c r="K53" s="45" t="inlineStr">
        <is>
          <t>AN12-0-4</t>
        </is>
      </c>
    </row>
    <row r="54" ht="15" customHeight="1" s="32">
      <c r="A54" s="46" t="n">
        <v>39</v>
      </c>
      <c r="B54" s="46" t="inlineStr">
        <is>
          <t>NFR-PT-CM-002</t>
        </is>
      </c>
      <c r="C54" s="47" t="inlineStr">
        <is>
          <t>이식성</t>
        </is>
      </c>
      <c r="D54" s="46" t="inlineStr">
        <is>
          <t>CM</t>
        </is>
      </c>
      <c r="E54" s="48" t="inlineStr">
        <is>
          <t>반응형 해상도 지원 (1024px~)</t>
        </is>
      </c>
      <c r="F54" s="49" t="inlineStr">
        <is>
          <t>1024px 이상 해상도 레이아웃 정상 표시</t>
        </is>
      </c>
      <c r="G54" s="43" t="inlineStr">
        <is>
          <t>하</t>
        </is>
      </c>
      <c r="H54" s="47" t="inlineStr">
        <is>
          <t>수용</t>
        </is>
      </c>
      <c r="I54" s="47" t="inlineStr">
        <is>
          <t>전체</t>
        </is>
      </c>
      <c r="J54" s="47" t="inlineStr">
        <is>
          <t>중</t>
        </is>
      </c>
      <c r="K54" s="49" t="inlineStr">
        <is>
          <t>AN12-0-4</t>
        </is>
      </c>
    </row>
    <row r="55" ht="15" customHeight="1" s="32">
      <c r="A55" s="37" t="inlineStr">
        <is>
          <t>유지보수성 (Maintainability) — 4건</t>
        </is>
      </c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9" t="n"/>
    </row>
    <row r="56" ht="21.75" customHeight="1" s="32">
      <c r="A56" s="40" t="n">
        <v>44</v>
      </c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9" t="n"/>
    </row>
    <row r="57" ht="15" customHeight="1" s="32">
      <c r="A57" s="46" t="n">
        <v>40</v>
      </c>
      <c r="B57" s="46" t="inlineStr">
        <is>
          <t>NFR-MT-CM-002</t>
        </is>
      </c>
      <c r="C57" s="47" t="inlineStr">
        <is>
          <t>유지보수성</t>
        </is>
      </c>
      <c r="D57" s="46" t="inlineStr">
        <is>
          <t>CM</t>
        </is>
      </c>
      <c r="E57" s="48" t="inlineStr">
        <is>
          <t>변경 이력 감사 추적 (Audit Trail)</t>
        </is>
      </c>
      <c r="F57" s="48" t="inlineStr">
        <is>
          <t>주요 데이터 변경 감사 추적 로그</t>
        </is>
      </c>
      <c r="G57" s="50" t="inlineStr">
        <is>
          <t>중</t>
        </is>
      </c>
      <c r="H57" s="47" t="inlineStr">
        <is>
          <t>수용</t>
        </is>
      </c>
      <c r="I57" s="47" t="inlineStr">
        <is>
          <t>전체</t>
        </is>
      </c>
      <c r="J57" s="44" t="inlineStr">
        <is>
          <t>상</t>
        </is>
      </c>
      <c r="K57" s="49" t="inlineStr">
        <is>
          <t>AN12-0-4</t>
        </is>
      </c>
    </row>
    <row r="58" ht="15" customHeight="1" s="32">
      <c r="A58" s="40" t="n">
        <v>41</v>
      </c>
      <c r="B58" s="40" t="inlineStr">
        <is>
          <t>NFR-MT-CM-003</t>
        </is>
      </c>
      <c r="C58" s="41" t="inlineStr">
        <is>
          <t>유지보수성</t>
        </is>
      </c>
      <c r="D58" s="40" t="inlineStr">
        <is>
          <t>CM</t>
        </is>
      </c>
      <c r="E58" s="45" t="inlineStr">
        <is>
          <t>API 문서 자동화 (Swagger/OpenAPI)</t>
        </is>
      </c>
      <c r="F58" s="45" t="inlineStr">
        <is>
          <t>Swagger/OpenAPI API 문서 자동 생성</t>
        </is>
      </c>
      <c r="G58" s="43" t="inlineStr">
        <is>
          <t>하</t>
        </is>
      </c>
      <c r="H58" s="41" t="inlineStr">
        <is>
          <t>수용</t>
        </is>
      </c>
      <c r="I58" s="41" t="inlineStr">
        <is>
          <t>전체</t>
        </is>
      </c>
      <c r="J58" s="44" t="inlineStr">
        <is>
          <t>상</t>
        </is>
      </c>
      <c r="K58" s="45" t="inlineStr">
        <is>
          <t>AN12-0-4</t>
        </is>
      </c>
    </row>
    <row r="59" ht="15" customHeight="1" s="32">
      <c r="A59" s="46" t="n">
        <v>42</v>
      </c>
      <c r="B59" s="46" t="inlineStr">
        <is>
          <t>NFR-MT-CM-004</t>
        </is>
      </c>
      <c r="C59" s="47" t="inlineStr">
        <is>
          <t>유지보수성</t>
        </is>
      </c>
      <c r="D59" s="46" t="inlineStr">
        <is>
          <t>CM</t>
        </is>
      </c>
      <c r="E59" s="48" t="inlineStr">
        <is>
          <t>코드 표준 및 코딩 컨벤션 준수</t>
        </is>
      </c>
      <c r="F59" s="49" t="inlineStr">
        <is>
          <t>FE/BE 코딩 컨벤션 수립/준수</t>
        </is>
      </c>
      <c r="G59" s="43" t="inlineStr">
        <is>
          <t>하</t>
        </is>
      </c>
      <c r="H59" s="47" t="inlineStr">
        <is>
          <t>수용</t>
        </is>
      </c>
      <c r="I59" s="47" t="inlineStr">
        <is>
          <t>전체</t>
        </is>
      </c>
      <c r="J59" s="44" t="inlineStr">
        <is>
          <t>상</t>
        </is>
      </c>
      <c r="K59" s="49" t="inlineStr">
        <is>
          <t>AN12-0-4</t>
        </is>
      </c>
    </row>
    <row r="60" ht="15" customHeight="1" s="32"/>
  </sheetData>
  <autoFilter ref="A4:K60"/>
  <mergeCells count="10">
    <mergeCell ref="A38:K38"/>
    <mergeCell ref="A2:K2"/>
    <mergeCell ref="A51:K51"/>
    <mergeCell ref="A1:K1"/>
    <mergeCell ref="A5:K5"/>
    <mergeCell ref="A32:K32"/>
    <mergeCell ref="A14:K14"/>
    <mergeCell ref="A45:K45"/>
    <mergeCell ref="A23:K23"/>
    <mergeCell ref="A56:K5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31" min="1" max="1"/>
    <col width="8" customWidth="1" style="31" min="2" max="3"/>
    <col width="10" customWidth="1" style="31" min="4" max="4"/>
    <col width="14" customWidth="1" style="31" min="5" max="5"/>
    <col width="30" customWidth="1" style="31" min="6" max="6"/>
  </cols>
  <sheetData>
    <row r="1" ht="34.5" customHeight="1" s="32">
      <c r="A1" s="52" t="inlineStr">
        <is>
          <t>WIMS 2.0 요구사항 통계 요약</t>
        </is>
      </c>
    </row>
    <row r="3" ht="15" customHeight="1" s="32">
      <c r="A3" s="54" t="inlineStr">
        <is>
          <t>■ 기능 요구사항 (서브시스템별)</t>
        </is>
      </c>
    </row>
    <row r="4" ht="15" customHeight="1" s="32">
      <c r="A4" s="36" t="inlineStr">
        <is>
          <t>서브시스템</t>
        </is>
      </c>
      <c r="B4" s="36" t="inlineStr">
        <is>
          <t>코드</t>
        </is>
      </c>
      <c r="C4" s="36" t="inlineStr">
        <is>
          <t>건수</t>
        </is>
      </c>
      <c r="D4" s="35" t="inlineStr">
        <is>
          <t>Phase</t>
        </is>
      </c>
      <c r="E4" s="36" t="inlineStr">
        <is>
          <t>최상 우선순위</t>
        </is>
      </c>
      <c r="F4" s="36" t="inlineStr">
        <is>
          <t>비고</t>
        </is>
      </c>
    </row>
    <row r="5" ht="15" customHeight="1" s="32">
      <c r="A5" s="41" t="inlineStr">
        <is>
          <t>① 제품관리</t>
        </is>
      </c>
      <c r="B5" s="40" t="inlineStr">
        <is>
          <t>PM</t>
        </is>
      </c>
      <c r="C5" s="40" t="n">
        <v>17</v>
      </c>
      <c r="D5" s="40" t="inlineStr">
        <is>
          <t>Phase 1</t>
        </is>
      </c>
      <c r="E5" s="40" t="n">
        <v>2</v>
      </c>
      <c r="F5" s="45" t="inlineStr">
        <is>
          <t>BOM, 자재, 공정, MES 연동, 프로젝트CRUD</t>
        </is>
      </c>
    </row>
    <row r="6" ht="15" customHeight="1" s="32">
      <c r="A6" s="41" t="inlineStr">
        <is>
          <t>② 견적설계</t>
        </is>
      </c>
      <c r="B6" s="40" t="inlineStr">
        <is>
          <t>ES</t>
        </is>
      </c>
      <c r="C6" s="40" t="n">
        <v>21</v>
      </c>
      <c r="D6" s="40" t="inlineStr">
        <is>
          <t>Phase 2</t>
        </is>
      </c>
      <c r="E6" s="40" t="n">
        <v>5</v>
      </c>
      <c r="F6" s="45" t="inlineStr">
        <is>
          <t>CAD 뷰어, 견적 산출, 실행 예산</t>
        </is>
      </c>
    </row>
    <row r="7" ht="15" customHeight="1" s="32">
      <c r="A7" s="41" t="inlineStr">
        <is>
          <t>③ 발주관리</t>
        </is>
      </c>
      <c r="B7" s="40" t="inlineStr">
        <is>
          <t>OM</t>
        </is>
      </c>
      <c r="C7" s="40" t="n">
        <v>10</v>
      </c>
      <c r="D7" s="40" t="inlineStr">
        <is>
          <t>Phase 2</t>
        </is>
      </c>
      <c r="E7" s="40" t="n">
        <v>1</v>
      </c>
      <c r="F7" s="42" t="inlineStr">
        <is>
          <t>계약, 최적절단, 발주서, 거래처, 재고</t>
        </is>
      </c>
    </row>
    <row r="8" ht="15" customHeight="1" s="32">
      <c r="A8" s="41" t="inlineStr">
        <is>
          <t>④ 제조관리</t>
        </is>
      </c>
      <c r="B8" s="40" t="inlineStr">
        <is>
          <t>MF</t>
        </is>
      </c>
      <c r="C8" s="40" t="n">
        <v>10</v>
      </c>
      <c r="D8" s="40" t="inlineStr">
        <is>
          <t>Phase 2</t>
        </is>
      </c>
      <c r="E8" s="40" t="n">
        <v>1</v>
      </c>
      <c r="F8" s="42" t="inlineStr">
        <is>
          <t>제작도, 절단지시서, 추가발주</t>
        </is>
      </c>
    </row>
    <row r="9" ht="15" customHeight="1" s="32">
      <c r="A9" s="41" t="inlineStr">
        <is>
          <t>⑤ 현장실측</t>
        </is>
      </c>
      <c r="B9" s="40" t="inlineStr">
        <is>
          <t>FS</t>
        </is>
      </c>
      <c r="C9" s="40" t="n">
        <v>12</v>
      </c>
      <c r="D9" s="40" t="inlineStr">
        <is>
          <t>Phase 2</t>
        </is>
      </c>
      <c r="E9" s="40" t="n">
        <v>2</v>
      </c>
      <c r="F9" s="45" t="inlineStr">
        <is>
          <t>Android 앱, BLE 연동</t>
        </is>
      </c>
    </row>
    <row r="10" ht="15" customHeight="1" s="32">
      <c r="A10" s="41" t="inlineStr">
        <is>
          <t>공통</t>
        </is>
      </c>
      <c r="B10" s="40" t="inlineStr">
        <is>
          <t>CM</t>
        </is>
      </c>
      <c r="C10" s="40" t="n">
        <v>6</v>
      </c>
      <c r="D10" s="41" t="inlineStr">
        <is>
          <t>전체</t>
        </is>
      </c>
      <c r="E10" s="40" t="n">
        <v>2</v>
      </c>
      <c r="F10" s="42" t="inlineStr">
        <is>
          <t>인증, 권한, UI, 오류수정</t>
        </is>
      </c>
    </row>
    <row r="11" ht="15" customHeight="1" s="32">
      <c r="A11" s="55" t="inlineStr">
        <is>
          <t>합계</t>
        </is>
      </c>
      <c r="B11" s="56" t="n"/>
      <c r="C11" s="55">
        <f>SUM(C5:C10)</f>
        <v/>
      </c>
      <c r="D11" s="56" t="n"/>
      <c r="E11" s="55">
        <f>SUM(E5:E10)</f>
        <v/>
      </c>
      <c r="F11" s="56" t="n"/>
    </row>
    <row r="13" ht="15" customHeight="1" s="32">
      <c r="A13" s="54" t="inlineStr">
        <is>
          <t>■ 비기능 요구사항 (분류별)</t>
        </is>
      </c>
    </row>
    <row r="14" ht="15" customHeight="1" s="32">
      <c r="A14" s="36" t="inlineStr">
        <is>
          <t>분류</t>
        </is>
      </c>
      <c r="B14" s="36" t="inlineStr">
        <is>
          <t>코드</t>
        </is>
      </c>
      <c r="C14" s="36" t="inlineStr">
        <is>
          <t>건수</t>
        </is>
      </c>
      <c r="D14" s="36" t="inlineStr">
        <is>
          <t>최상 우선순위</t>
        </is>
      </c>
    </row>
    <row r="15" ht="15" customHeight="1" s="32">
      <c r="A15" s="41" t="inlineStr">
        <is>
          <t>보안</t>
        </is>
      </c>
      <c r="B15" s="40" t="inlineStr">
        <is>
          <t>NFR-SC</t>
        </is>
      </c>
      <c r="C15" s="40" t="n">
        <v>8</v>
      </c>
      <c r="D15" s="40" t="n">
        <v>3</v>
      </c>
    </row>
    <row r="16" ht="15" customHeight="1" s="32">
      <c r="A16" s="41" t="inlineStr">
        <is>
          <t>성능</t>
        </is>
      </c>
      <c r="B16" s="40" t="inlineStr">
        <is>
          <t>NFR-PF</t>
        </is>
      </c>
      <c r="C16" s="40" t="n">
        <v>8</v>
      </c>
      <c r="D16" s="40" t="n">
        <v>2</v>
      </c>
    </row>
    <row r="17" ht="15" customHeight="1" s="32">
      <c r="A17" s="41" t="inlineStr">
        <is>
          <t>사용성</t>
        </is>
      </c>
      <c r="B17" s="40" t="inlineStr">
        <is>
          <t>NFR-US</t>
        </is>
      </c>
      <c r="C17" s="40" t="n">
        <v>8</v>
      </c>
      <c r="D17" s="40" t="n">
        <v>1</v>
      </c>
    </row>
    <row r="18" ht="15" customHeight="1" s="32">
      <c r="A18" s="41" t="inlineStr">
        <is>
          <t>신뢰성</t>
        </is>
      </c>
      <c r="B18" s="40" t="inlineStr">
        <is>
          <t>NFR-RL</t>
        </is>
      </c>
      <c r="C18" s="40" t="n">
        <v>5</v>
      </c>
      <c r="D18" s="40" t="n">
        <v>2</v>
      </c>
    </row>
    <row r="19" ht="15" customHeight="1" s="32">
      <c r="A19" s="41" t="inlineStr">
        <is>
          <t>인터페이스</t>
        </is>
      </c>
      <c r="B19" s="40" t="inlineStr">
        <is>
          <t>NFR-IF</t>
        </is>
      </c>
      <c r="C19" s="40" t="n">
        <v>6</v>
      </c>
      <c r="D19" s="40" t="n">
        <v>1</v>
      </c>
    </row>
    <row r="20" ht="15" customHeight="1" s="32">
      <c r="A20" s="41" t="inlineStr">
        <is>
          <t>데이터</t>
        </is>
      </c>
      <c r="B20" s="40" t="inlineStr">
        <is>
          <t>NFR-DA</t>
        </is>
      </c>
      <c r="C20" s="40" t="n">
        <v>5</v>
      </c>
      <c r="D20" s="40" t="n">
        <v>3</v>
      </c>
    </row>
    <row r="21" ht="15" customHeight="1" s="32">
      <c r="A21" s="41" t="inlineStr">
        <is>
          <t>이식성</t>
        </is>
      </c>
      <c r="B21" s="40" t="inlineStr">
        <is>
          <t>NFR-PT</t>
        </is>
      </c>
      <c r="C21" s="40" t="n">
        <v>4</v>
      </c>
      <c r="D21" s="40" t="n">
        <v>0</v>
      </c>
    </row>
    <row r="22" ht="15" customHeight="1" s="32">
      <c r="A22" s="41" t="inlineStr">
        <is>
          <t>유지보수성</t>
        </is>
      </c>
      <c r="B22" s="40" t="inlineStr">
        <is>
          <t>NFR-MT</t>
        </is>
      </c>
      <c r="C22" s="40" t="n">
        <v>4</v>
      </c>
      <c r="D22" s="40" t="n">
        <v>0</v>
      </c>
    </row>
    <row r="23" ht="15" customHeight="1" s="32">
      <c r="A23" s="55" t="inlineStr">
        <is>
          <t>합계</t>
        </is>
      </c>
      <c r="B23" s="56" t="n"/>
      <c r="C23" s="55">
        <f>SUM(C15:C22)</f>
        <v/>
      </c>
      <c r="D23" s="55">
        <f>SUM(D15:D22)</f>
        <v/>
      </c>
    </row>
    <row r="25" ht="15" customHeight="1" s="32">
      <c r="A25" s="54" t="inlineStr">
        <is>
          <t>■ 전체 요구사항 총괄</t>
        </is>
      </c>
    </row>
    <row r="26" ht="15" customHeight="1" s="32">
      <c r="A26" s="36" t="inlineStr">
        <is>
          <t>구분</t>
        </is>
      </c>
      <c r="B26" s="36" t="inlineStr">
        <is>
          <t>건수</t>
        </is>
      </c>
      <c r="C26" s="36" t="inlineStr">
        <is>
          <t>비율</t>
        </is>
      </c>
    </row>
    <row r="27" ht="15" customHeight="1" s="32">
      <c r="A27" s="41" t="inlineStr">
        <is>
          <t>기능 요구사항 (FR)</t>
        </is>
      </c>
      <c r="B27" s="40">
        <f>C11</f>
        <v/>
      </c>
      <c r="C27" s="57">
        <f>B27/B29</f>
        <v/>
      </c>
    </row>
    <row r="28" ht="15" customHeight="1" s="32">
      <c r="A28" s="41" t="inlineStr">
        <is>
          <t>비기능 요구사항 (NFR)</t>
        </is>
      </c>
      <c r="B28" s="40">
        <f>C23</f>
        <v/>
      </c>
      <c r="C28" s="57">
        <f>B28/B29</f>
        <v/>
      </c>
    </row>
    <row r="29" ht="15" customHeight="1" s="32">
      <c r="A29" s="55" t="inlineStr">
        <is>
          <t>합계</t>
        </is>
      </c>
      <c r="B29" s="55">
        <f>B27+B28</f>
        <v/>
      </c>
      <c r="C29" s="55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31" min="1" max="1"/>
    <col width="12" customWidth="1" style="31" min="2" max="2"/>
    <col width="16" customWidth="1" style="31" min="3" max="3"/>
    <col width="28" customWidth="1" style="31" min="4" max="4"/>
    <col width="10" customWidth="1" style="31" min="5" max="5"/>
    <col width="22" customWidth="1" style="31" min="6" max="6"/>
    <col width="45" customWidth="1" style="31" min="7" max="7"/>
    <col width="18" customWidth="1" style="31" min="8" max="8"/>
  </cols>
  <sheetData>
    <row r="1" ht="34.5" customHeight="1" s="32">
      <c r="A1" s="58" t="inlineStr">
        <is>
          <t>현행 사이트맵 ↔ 요구사항 매핑표</t>
        </is>
      </c>
    </row>
    <row r="2" ht="11.9" customHeight="1" s="32">
      <c r="A2" s="53" t="inlineStr">
        <is>
          <t>AN21 v1.3 코멘트 기반  |  현행 59개 화면 ↔ 요구사항 ID 추적</t>
        </is>
      </c>
    </row>
    <row r="4" ht="30" customHeight="1" s="32">
      <c r="A4" s="35" t="inlineStr">
        <is>
          <t>No</t>
        </is>
      </c>
      <c r="B4" s="35" t="inlineStr">
        <is>
          <t>GNB 메뉴</t>
        </is>
      </c>
      <c r="C4" s="36" t="inlineStr">
        <is>
          <t>서브탭/페이지</t>
        </is>
      </c>
      <c r="D4" s="36" t="inlineStr">
        <is>
          <t>현행 경로</t>
        </is>
      </c>
      <c r="E4" s="36" t="inlineStr">
        <is>
          <t>서브시스템</t>
        </is>
      </c>
      <c r="F4" s="36" t="inlineStr">
        <is>
          <t>관련 요구사항 ID</t>
        </is>
      </c>
      <c r="G4" s="36" t="inlineStr">
        <is>
          <t>사이트맵 설명</t>
        </is>
      </c>
      <c r="H4" s="36" t="inlineStr">
        <is>
          <t>비고</t>
        </is>
      </c>
    </row>
    <row r="5" ht="22.35" customHeight="1" s="32">
      <c r="A5" s="40" t="n">
        <v>1</v>
      </c>
      <c r="B5" s="42" t="inlineStr">
        <is>
          <t>로그인</t>
        </is>
      </c>
      <c r="C5" s="45" t="inlineStr">
        <is>
          <t>-</t>
        </is>
      </c>
      <c r="D5" s="45" t="inlineStr">
        <is>
          <t>/signIn</t>
        </is>
      </c>
      <c r="E5" s="40" t="inlineStr">
        <is>
          <t>CM</t>
        </is>
      </c>
      <c r="F5" s="45" t="inlineStr">
        <is>
          <t>FR-CM-001, NFR-SC-CM-001</t>
        </is>
      </c>
      <c r="G5" s="42" t="inlineStr">
        <is>
          <t>사용자 로그인 페이지</t>
        </is>
      </c>
      <c r="H5" s="45" t="inlineStr">
        <is>
          <t>JWT 인증</t>
        </is>
      </c>
    </row>
    <row r="6" ht="15" customHeight="1" s="32">
      <c r="A6" s="46" t="n">
        <v>2</v>
      </c>
      <c r="B6" s="48" t="inlineStr">
        <is>
          <t>회원가입</t>
        </is>
      </c>
      <c r="C6" s="49" t="inlineStr">
        <is>
          <t>-</t>
        </is>
      </c>
      <c r="D6" s="49" t="inlineStr">
        <is>
          <t>/join</t>
        </is>
      </c>
      <c r="E6" s="46" t="inlineStr">
        <is>
          <t>CM</t>
        </is>
      </c>
      <c r="F6" s="49" t="inlineStr">
        <is>
          <t>-</t>
        </is>
      </c>
      <c r="G6" s="48" t="inlineStr">
        <is>
          <t>현재 미사용</t>
        </is>
      </c>
      <c r="H6" s="48" t="inlineStr">
        <is>
          <t>미사용</t>
        </is>
      </c>
    </row>
    <row r="7" ht="15" customHeight="1" s="32">
      <c r="A7" s="40" t="n">
        <v>3</v>
      </c>
      <c r="B7" s="42" t="inlineStr">
        <is>
          <t>프로젝트관리</t>
        </is>
      </c>
      <c r="C7" s="42" t="inlineStr">
        <is>
          <t>전체 프로젝트</t>
        </is>
      </c>
      <c r="D7" s="45" t="inlineStr">
        <is>
          <t>/pages/project</t>
        </is>
      </c>
      <c r="E7" s="40" t="inlineStr">
        <is>
          <t>PM+ES</t>
        </is>
      </c>
      <c r="F7" s="45" t="inlineStr">
        <is>
          <t>FR-PM-017, FR-ES-003</t>
        </is>
      </c>
      <c r="G7" s="42" t="inlineStr">
        <is>
          <t>전체 프로젝트 목록 조회/관리</t>
        </is>
      </c>
      <c r="H7" s="45" t="n"/>
    </row>
    <row r="8" ht="15" customHeight="1" s="32">
      <c r="A8" s="46" t="n">
        <v>4</v>
      </c>
      <c r="B8" s="49" t="n"/>
      <c r="C8" s="48" t="inlineStr">
        <is>
          <t>내 프로젝트</t>
        </is>
      </c>
      <c r="D8" s="49" t="inlineStr">
        <is>
          <t>/pages/project/my</t>
        </is>
      </c>
      <c r="E8" s="46" t="inlineStr">
        <is>
          <t>PM+ES</t>
        </is>
      </c>
      <c r="F8" s="49" t="inlineStr">
        <is>
          <t>FR-PM-017</t>
        </is>
      </c>
      <c r="G8" s="48" t="inlineStr">
        <is>
          <t>내가 생성한 프로젝트 조회</t>
        </is>
      </c>
      <c r="H8" s="49" t="n"/>
    </row>
    <row r="9" ht="15" customHeight="1" s="32">
      <c r="A9" s="40" t="n">
        <v>5</v>
      </c>
      <c r="B9" s="45" t="n"/>
      <c r="C9" s="42" t="inlineStr">
        <is>
          <t>관심 프로젝트</t>
        </is>
      </c>
      <c r="D9" s="45" t="inlineStr">
        <is>
          <t>/pages/project/favorite</t>
        </is>
      </c>
      <c r="E9" s="40" t="inlineStr">
        <is>
          <t>PM+ES</t>
        </is>
      </c>
      <c r="F9" s="45" t="inlineStr">
        <is>
          <t>FR-PM-017</t>
        </is>
      </c>
      <c r="G9" s="42" t="inlineStr">
        <is>
          <t>관심 프로젝트 조회</t>
        </is>
      </c>
      <c r="H9" s="45" t="n"/>
    </row>
    <row r="10" ht="15" customHeight="1" s="32">
      <c r="A10" s="46" t="n">
        <v>6</v>
      </c>
      <c r="B10" s="49" t="n"/>
      <c r="C10" s="48" t="inlineStr">
        <is>
          <t>종료 프로젝트</t>
        </is>
      </c>
      <c r="D10" s="49" t="inlineStr">
        <is>
          <t>/pages/project/completed</t>
        </is>
      </c>
      <c r="E10" s="46" t="inlineStr">
        <is>
          <t>PM+ES</t>
        </is>
      </c>
      <c r="F10" s="49" t="inlineStr">
        <is>
          <t>FR-PM-017</t>
        </is>
      </c>
      <c r="G10" s="48" t="inlineStr">
        <is>
          <t>종료 프로젝트 조회</t>
        </is>
      </c>
      <c r="H10" s="49" t="n"/>
    </row>
    <row r="11" ht="15" customHeight="1" s="32">
      <c r="A11" s="40" t="n">
        <v>7</v>
      </c>
      <c r="B11" s="45" t="n"/>
      <c r="C11" s="42" t="inlineStr">
        <is>
          <t>프로젝트 상세</t>
        </is>
      </c>
      <c r="D11" s="45" t="inlineStr">
        <is>
          <t>/:projectNo</t>
        </is>
      </c>
      <c r="E11" s="40" t="inlineStr">
        <is>
          <t>PM+ES</t>
        </is>
      </c>
      <c r="F11" s="45" t="inlineStr">
        <is>
          <t>FR-PM-017, FR-ES-003</t>
        </is>
      </c>
      <c r="G11" s="42" t="inlineStr">
        <is>
          <t>프로젝트 상세 정보</t>
        </is>
      </c>
      <c r="H11" s="45" t="n"/>
    </row>
    <row r="12" ht="15" customHeight="1" s="32">
      <c r="A12" s="46" t="n">
        <v>8</v>
      </c>
      <c r="B12" s="49" t="n"/>
      <c r="C12" s="48" t="inlineStr">
        <is>
          <t>├ 기본정보</t>
        </is>
      </c>
      <c r="D12" s="49" t="inlineStr">
        <is>
          <t>(기본)</t>
        </is>
      </c>
      <c r="E12" s="46" t="inlineStr">
        <is>
          <t>PM+ES</t>
        </is>
      </c>
      <c r="F12" s="49" t="inlineStr">
        <is>
          <t>FR-PM-017</t>
        </is>
      </c>
      <c r="G12" s="48" t="inlineStr">
        <is>
          <t>기본 정보 입력/수정</t>
        </is>
      </c>
      <c r="H12" s="49" t="n"/>
    </row>
    <row r="13" ht="15" customHeight="1" s="32">
      <c r="A13" s="40" t="n">
        <v>9</v>
      </c>
      <c r="B13" s="45" t="n"/>
      <c r="C13" s="42" t="inlineStr">
        <is>
          <t>├ 체크리스트</t>
        </is>
      </c>
      <c r="D13" s="45" t="inlineStr">
        <is>
          <t>/checklist</t>
        </is>
      </c>
      <c r="E13" s="40" t="inlineStr">
        <is>
          <t>PM+ES</t>
        </is>
      </c>
      <c r="F13" s="45" t="inlineStr">
        <is>
          <t>-</t>
        </is>
      </c>
      <c r="G13" s="42" t="inlineStr">
        <is>
          <t>체크리스트 관리</t>
        </is>
      </c>
      <c r="H13" s="45" t="n"/>
    </row>
    <row r="14" ht="15" customHeight="1" s="32">
      <c r="A14" s="46" t="n">
        <v>10</v>
      </c>
      <c r="B14" s="49" t="n"/>
      <c r="C14" s="48" t="inlineStr">
        <is>
          <t>├ 파일관리</t>
        </is>
      </c>
      <c r="D14" s="49" t="inlineStr">
        <is>
          <t>/files</t>
        </is>
      </c>
      <c r="E14" s="46" t="inlineStr">
        <is>
          <t>ES</t>
        </is>
      </c>
      <c r="F14" s="49" t="inlineStr">
        <is>
          <t>FR-ES-001</t>
        </is>
      </c>
      <c r="G14" s="48" t="inlineStr">
        <is>
          <t>자료 업로드/관리</t>
        </is>
      </c>
      <c r="H14" s="49" t="inlineStr">
        <is>
          <t>CAD 업로드</t>
        </is>
      </c>
    </row>
    <row r="15" ht="15" customHeight="1" s="32">
      <c r="A15" s="40" t="n">
        <v>11</v>
      </c>
      <c r="B15" s="45" t="n"/>
      <c r="C15" s="42" t="inlineStr">
        <is>
          <t>├ 견적</t>
        </is>
      </c>
      <c r="D15" s="45" t="inlineStr">
        <is>
          <t>/estimate</t>
        </is>
      </c>
      <c r="E15" s="40" t="inlineStr">
        <is>
          <t>ES</t>
        </is>
      </c>
      <c r="F15" s="45" t="inlineStr">
        <is>
          <t>FR-ES-005~021</t>
        </is>
      </c>
      <c r="G15" s="42" t="inlineStr">
        <is>
          <t>견적 설계 진행</t>
        </is>
      </c>
      <c r="H15" s="42" t="inlineStr">
        <is>
          <t>핵심 기능</t>
        </is>
      </c>
    </row>
    <row r="16" ht="15" customHeight="1" s="32">
      <c r="A16" s="46" t="n">
        <v>12</v>
      </c>
      <c r="B16" s="49" t="n"/>
      <c r="C16" s="48" t="inlineStr">
        <is>
          <t>├ 발주</t>
        </is>
      </c>
      <c r="D16" s="49" t="inlineStr">
        <is>
          <t>/orderForm</t>
        </is>
      </c>
      <c r="E16" s="46" t="inlineStr">
        <is>
          <t>OM</t>
        </is>
      </c>
      <c r="F16" s="49" t="inlineStr">
        <is>
          <t>FR-OM-004~008</t>
        </is>
      </c>
      <c r="G16" s="48" t="inlineStr">
        <is>
          <t>필요 자재 수량 확인</t>
        </is>
      </c>
      <c r="H16" s="49" t="n"/>
    </row>
    <row r="17" ht="15" customHeight="1" s="32">
      <c r="A17" s="40" t="n">
        <v>13</v>
      </c>
      <c r="B17" s="45" t="n"/>
      <c r="C17" s="42" t="inlineStr">
        <is>
          <t>└ 실행예산</t>
        </is>
      </c>
      <c r="D17" s="45" t="inlineStr">
        <is>
          <t>/calculate</t>
        </is>
      </c>
      <c r="E17" s="40" t="inlineStr">
        <is>
          <t>ES</t>
        </is>
      </c>
      <c r="F17" s="45" t="inlineStr">
        <is>
          <t>FR-ES-018, FR-ES-020</t>
        </is>
      </c>
      <c r="G17" s="42" t="inlineStr">
        <is>
          <t>원가 비용 확인</t>
        </is>
      </c>
      <c r="H17" s="45" t="n"/>
    </row>
    <row r="18" ht="15" customHeight="1" s="32">
      <c r="A18" s="46" t="n">
        <v>14</v>
      </c>
      <c r="B18" s="48" t="inlineStr">
        <is>
          <t>자재관리</t>
        </is>
      </c>
      <c r="C18" s="48" t="inlineStr">
        <is>
          <t>원자재 목록</t>
        </is>
      </c>
      <c r="D18" s="49" t="inlineStr">
        <is>
          <t>/pages/material/raw</t>
        </is>
      </c>
      <c r="E18" s="46" t="inlineStr">
        <is>
          <t>PM</t>
        </is>
      </c>
      <c r="F18" s="49" t="inlineStr">
        <is>
          <t>FR-PM-001~005</t>
        </is>
      </c>
      <c r="G18" s="48" t="inlineStr">
        <is>
          <t>원자재/부자재 목록 관리</t>
        </is>
      </c>
      <c r="H18" s="49" t="n"/>
    </row>
    <row r="19" ht="22.35" customHeight="1" s="32">
      <c r="A19" s="40" t="n">
        <v>15</v>
      </c>
      <c r="B19" s="45" t="n"/>
      <c r="C19" s="42" t="inlineStr">
        <is>
          <t>└ 원자재 상세</t>
        </is>
      </c>
      <c r="D19" s="45" t="inlineStr">
        <is>
          <t>/raw/:materialNo</t>
        </is>
      </c>
      <c r="E19" s="40" t="inlineStr">
        <is>
          <t>PM</t>
        </is>
      </c>
      <c r="F19" s="45" t="inlineStr">
        <is>
          <t>FR-PM-001~003</t>
        </is>
      </c>
      <c r="G19" s="42" t="inlineStr">
        <is>
          <t>규격/거래처 정보 관리</t>
        </is>
      </c>
      <c r="H19" s="45" t="n"/>
    </row>
    <row r="20" ht="15" customHeight="1" s="32">
      <c r="A20" s="46" t="n">
        <v>16</v>
      </c>
      <c r="B20" s="49" t="n"/>
      <c r="C20" s="48" t="inlineStr">
        <is>
          <t>구성원자재 목록</t>
        </is>
      </c>
      <c r="D20" s="49" t="inlineStr">
        <is>
          <t>/pages/material/group</t>
        </is>
      </c>
      <c r="E20" s="46" t="inlineStr">
        <is>
          <t>PM</t>
        </is>
      </c>
      <c r="F20" s="49" t="inlineStr">
        <is>
          <t>FR-PM-010, FR-PM-011</t>
        </is>
      </c>
      <c r="G20" s="48" t="inlineStr">
        <is>
          <t>원자재 그룹 관리</t>
        </is>
      </c>
      <c r="H20" s="49" t="inlineStr">
        <is>
          <t>BOM 관련</t>
        </is>
      </c>
    </row>
    <row r="21" ht="15" customHeight="1" s="32">
      <c r="A21" s="40" t="n">
        <v>17</v>
      </c>
      <c r="B21" s="45" t="n"/>
      <c r="C21" s="42" t="inlineStr">
        <is>
          <t>└ 구성원자재 상세</t>
        </is>
      </c>
      <c r="D21" s="45" t="inlineStr">
        <is>
          <t>/group/:groupMaterialNo</t>
        </is>
      </c>
      <c r="E21" s="40" t="inlineStr">
        <is>
          <t>PM</t>
        </is>
      </c>
      <c r="F21" s="45" t="inlineStr">
        <is>
          <t>FR-PM-010, FR-PM-011</t>
        </is>
      </c>
      <c r="G21" s="42" t="inlineStr">
        <is>
          <t>자재 묶음 관리</t>
        </is>
      </c>
      <c r="H21" s="45" t="inlineStr">
        <is>
          <t>BOM 구성</t>
        </is>
      </c>
    </row>
    <row r="22" ht="15" customHeight="1" s="32">
      <c r="A22" s="46" t="n">
        <v>18</v>
      </c>
      <c r="B22" s="48" t="inlineStr">
        <is>
          <t>제품관리</t>
        </is>
      </c>
      <c r="C22" s="48" t="inlineStr">
        <is>
          <t>판매 제품 목록</t>
        </is>
      </c>
      <c r="D22" s="49" t="inlineStr">
        <is>
          <t>/pages/product/sales</t>
        </is>
      </c>
      <c r="E22" s="46" t="inlineStr">
        <is>
          <t>PM</t>
        </is>
      </c>
      <c r="F22" s="49" t="inlineStr">
        <is>
          <t>FR-PM-014~016</t>
        </is>
      </c>
      <c r="G22" s="48" t="inlineStr">
        <is>
          <t>제품 등록/코드 확인</t>
        </is>
      </c>
      <c r="H22" s="49" t="n"/>
    </row>
    <row r="23" ht="22.35" customHeight="1" s="32">
      <c r="A23" s="40" t="n">
        <v>19</v>
      </c>
      <c r="B23" s="45" t="n"/>
      <c r="C23" s="42" t="inlineStr">
        <is>
          <t>├ 판매 제품 상세</t>
        </is>
      </c>
      <c r="D23" s="45" t="inlineStr">
        <is>
          <t>/sales/:productNo</t>
        </is>
      </c>
      <c r="E23" s="40" t="inlineStr">
        <is>
          <t>PM</t>
        </is>
      </c>
      <c r="F23" s="45" t="inlineStr">
        <is>
          <t>FR-PM-010~012, FR-PM-016</t>
        </is>
      </c>
      <c r="G23" s="42" t="inlineStr">
        <is>
          <t>자재 구성 관리</t>
        </is>
      </c>
      <c r="H23" s="45" t="inlineStr">
        <is>
          <t>BOM 트리뷰</t>
        </is>
      </c>
    </row>
    <row r="24" ht="15" customHeight="1" s="32">
      <c r="A24" s="46" t="n">
        <v>20</v>
      </c>
      <c r="B24" s="49" t="n"/>
      <c r="C24" s="48" t="inlineStr">
        <is>
          <t>└ 제작/시공비 설정</t>
        </is>
      </c>
      <c r="D24" s="49" t="inlineStr">
        <is>
          <t>/sales/cost</t>
        </is>
      </c>
      <c r="E24" s="46" t="inlineStr">
        <is>
          <t>PM</t>
        </is>
      </c>
      <c r="F24" s="49" t="inlineStr">
        <is>
          <t>FR-PM-009</t>
        </is>
      </c>
      <c r="G24" s="48" t="inlineStr">
        <is>
          <t>단가 입력/관리</t>
        </is>
      </c>
      <c r="H24" s="49" t="n"/>
    </row>
    <row r="25" ht="15" customHeight="1" s="32">
      <c r="A25" s="50" t="n">
        <v>21</v>
      </c>
      <c r="B25" s="59" t="n"/>
      <c r="C25" s="60" t="inlineStr">
        <is>
          <t>순번 목록</t>
        </is>
      </c>
      <c r="D25" s="59" t="inlineStr">
        <is>
          <t>/pages/product/sequence</t>
        </is>
      </c>
      <c r="E25" s="61" t="inlineStr">
        <is>
          <t>PM</t>
        </is>
      </c>
      <c r="F25" s="59" t="inlineStr">
        <is>
          <t>-</t>
        </is>
      </c>
      <c r="G25" s="59" t="inlineStr">
        <is>
          <t>(설명 미기재)</t>
        </is>
      </c>
      <c r="H25" s="60" t="inlineStr">
        <is>
          <t>⚠ 확인필요</t>
        </is>
      </c>
    </row>
    <row r="26" ht="15" customHeight="1" s="32">
      <c r="A26" s="61" t="n">
        <v>22</v>
      </c>
      <c r="B26" s="59" t="n"/>
      <c r="C26" s="60" t="inlineStr">
        <is>
          <t>└ 순번 상세</t>
        </is>
      </c>
      <c r="D26" s="59" t="inlineStr">
        <is>
          <t>/sequence/:productNo</t>
        </is>
      </c>
      <c r="E26" s="61" t="inlineStr">
        <is>
          <t>PM</t>
        </is>
      </c>
      <c r="F26" s="59" t="inlineStr">
        <is>
          <t>-</t>
        </is>
      </c>
      <c r="G26" s="59" t="inlineStr">
        <is>
          <t>(설명 미기재)</t>
        </is>
      </c>
      <c r="H26" s="60" t="inlineStr">
        <is>
          <t>⚠ 확인필요</t>
        </is>
      </c>
    </row>
    <row r="27" ht="15" customHeight="1" s="32">
      <c r="A27" s="40" t="n">
        <v>23</v>
      </c>
      <c r="B27" s="42" t="inlineStr">
        <is>
          <t>견적설계</t>
        </is>
      </c>
      <c r="C27" s="42" t="inlineStr">
        <is>
          <t>견적설계 메인</t>
        </is>
      </c>
      <c r="D27" s="45" t="inlineStr">
        <is>
          <t>/pages/estimate/:estimateNo</t>
        </is>
      </c>
      <c r="E27" s="40" t="inlineStr">
        <is>
          <t>ES</t>
        </is>
      </c>
      <c r="F27" s="45" t="inlineStr">
        <is>
          <t>FR-ES-005~007</t>
        </is>
      </c>
      <c r="G27" s="42" t="inlineStr">
        <is>
          <t>설계 대상 선택/설정</t>
        </is>
      </c>
      <c r="H27" s="45" t="n"/>
    </row>
    <row r="28" ht="15" customHeight="1" s="32">
      <c r="A28" s="61" t="n">
        <v>24</v>
      </c>
      <c r="B28" s="59" t="n"/>
      <c r="C28" s="60" t="inlineStr">
        <is>
          <t>설정</t>
        </is>
      </c>
      <c r="D28" s="59" t="inlineStr">
        <is>
          <t>/config/:productNo</t>
        </is>
      </c>
      <c r="E28" s="61" t="inlineStr">
        <is>
          <t>ES</t>
        </is>
      </c>
      <c r="F28" s="59" t="inlineStr">
        <is>
          <t>FR-ES-005, FR-ES-011</t>
        </is>
      </c>
      <c r="G28" s="59" t="inlineStr">
        <is>
          <t>(설명 미기재)</t>
        </is>
      </c>
      <c r="H28" s="60" t="inlineStr">
        <is>
          <t>⚠ 확인필요</t>
        </is>
      </c>
    </row>
    <row r="29" ht="22.35" customHeight="1" s="32">
      <c r="A29" s="61" t="n">
        <v>25</v>
      </c>
      <c r="B29" s="59" t="n"/>
      <c r="C29" s="60" t="inlineStr">
        <is>
          <t>계산</t>
        </is>
      </c>
      <c r="D29" s="59" t="inlineStr">
        <is>
          <t>/calculation</t>
        </is>
      </c>
      <c r="E29" s="61" t="inlineStr">
        <is>
          <t>ES</t>
        </is>
      </c>
      <c r="F29" s="59" t="inlineStr">
        <is>
          <t>FR-ES-006~010, FR-ES-013</t>
        </is>
      </c>
      <c r="G29" s="59" t="inlineStr">
        <is>
          <t>(설명 미기재)</t>
        </is>
      </c>
      <c r="H29" s="60" t="inlineStr">
        <is>
          <t>⚠ 확인필요</t>
        </is>
      </c>
    </row>
    <row r="30" ht="15" customHeight="1" s="32">
      <c r="A30" s="46" t="n">
        <v>26</v>
      </c>
      <c r="B30" s="49" t="n"/>
      <c r="C30" s="48" t="inlineStr">
        <is>
          <t>예산</t>
        </is>
      </c>
      <c r="D30" s="49" t="inlineStr">
        <is>
          <t>/budget/:budgetNo</t>
        </is>
      </c>
      <c r="E30" s="46" t="inlineStr">
        <is>
          <t>ES</t>
        </is>
      </c>
      <c r="F30" s="49" t="inlineStr">
        <is>
          <t>FR-ES-017, FR-ES-020</t>
        </is>
      </c>
      <c r="G30" s="48" t="inlineStr">
        <is>
          <t>실행 비율 확인</t>
        </is>
      </c>
      <c r="H30" s="48" t="inlineStr">
        <is>
          <t>실행율</t>
        </is>
      </c>
    </row>
    <row r="31" ht="15" customHeight="1" s="32">
      <c r="A31" s="61" t="n">
        <v>27</v>
      </c>
      <c r="B31" s="59" t="n"/>
      <c r="C31" s="60" t="inlineStr">
        <is>
          <t>실행</t>
        </is>
      </c>
      <c r="D31" s="59" t="inlineStr">
        <is>
          <t>/execution</t>
        </is>
      </c>
      <c r="E31" s="61" t="inlineStr">
        <is>
          <t>ES</t>
        </is>
      </c>
      <c r="F31" s="59" t="inlineStr">
        <is>
          <t>FR-ES-018, FR-ES-020</t>
        </is>
      </c>
      <c r="G31" s="59" t="inlineStr">
        <is>
          <t>(설명 미기재)</t>
        </is>
      </c>
      <c r="H31" s="60" t="inlineStr">
        <is>
          <t>⚠ 확인필요</t>
        </is>
      </c>
    </row>
    <row r="32" ht="15" customHeight="1" s="32">
      <c r="A32" s="46" t="n">
        <v>28</v>
      </c>
      <c r="B32" s="49" t="n"/>
      <c r="C32" s="48" t="inlineStr">
        <is>
          <t>견적서</t>
        </is>
      </c>
      <c r="D32" s="49" t="inlineStr">
        <is>
          <t>/estimateForm</t>
        </is>
      </c>
      <c r="E32" s="46" t="inlineStr">
        <is>
          <t>ES</t>
        </is>
      </c>
      <c r="F32" s="49" t="inlineStr">
        <is>
          <t>FR-ES-016, FR-ES-019</t>
        </is>
      </c>
      <c r="G32" s="48" t="inlineStr">
        <is>
          <t>견적 내역서 출력</t>
        </is>
      </c>
      <c r="H32" s="49" t="n"/>
    </row>
    <row r="33" ht="15" customHeight="1" s="32">
      <c r="A33" s="40" t="n">
        <v>29</v>
      </c>
      <c r="B33" s="45" t="n"/>
      <c r="C33" s="42" t="inlineStr">
        <is>
          <t>└ 견적서 상세</t>
        </is>
      </c>
      <c r="D33" s="45" t="inlineStr">
        <is>
          <t>/estimateForm/:identificationNo</t>
        </is>
      </c>
      <c r="E33" s="40" t="inlineStr">
        <is>
          <t>ES</t>
        </is>
      </c>
      <c r="F33" s="45" t="inlineStr">
        <is>
          <t>FR-ES-015, FR-ES-019</t>
        </is>
      </c>
      <c r="G33" s="42" t="inlineStr">
        <is>
          <t>견적서 수정</t>
        </is>
      </c>
      <c r="H33" s="45" t="n"/>
    </row>
    <row r="34" ht="15" customHeight="1" s="32">
      <c r="A34" s="61" t="n">
        <v>30</v>
      </c>
      <c r="B34" s="59" t="n"/>
      <c r="C34" s="60" t="inlineStr">
        <is>
          <t>주문서</t>
        </is>
      </c>
      <c r="D34" s="59" t="inlineStr">
        <is>
          <t>/orderForm</t>
        </is>
      </c>
      <c r="E34" s="61" t="inlineStr">
        <is>
          <t>ES</t>
        </is>
      </c>
      <c r="F34" s="59" t="inlineStr">
        <is>
          <t>FR-OM-001</t>
        </is>
      </c>
      <c r="G34" s="59" t="inlineStr">
        <is>
          <t>(설명 미기재)</t>
        </is>
      </c>
      <c r="H34" s="60" t="inlineStr">
        <is>
          <t>⚠ 확인필요</t>
        </is>
      </c>
    </row>
    <row r="35" ht="15" customHeight="1" s="32">
      <c r="A35" s="61" t="n">
        <v>31</v>
      </c>
      <c r="B35" s="60" t="inlineStr">
        <is>
          <t>계약관리</t>
        </is>
      </c>
      <c r="C35" s="60" t="inlineStr">
        <is>
          <t>대시보드</t>
        </is>
      </c>
      <c r="D35" s="59" t="inlineStr">
        <is>
          <t>/pages/contract/dashboard</t>
        </is>
      </c>
      <c r="E35" s="61" t="inlineStr">
        <is>
          <t>OM</t>
        </is>
      </c>
      <c r="F35" s="59" t="inlineStr">
        <is>
          <t>FR-OM-003</t>
        </is>
      </c>
      <c r="G35" s="59" t="inlineStr">
        <is>
          <t>(설명 미기재)</t>
        </is>
      </c>
      <c r="H35" s="60" t="inlineStr">
        <is>
          <t>⚠ 확인필요</t>
        </is>
      </c>
    </row>
    <row r="36" ht="15" customHeight="1" s="32">
      <c r="A36" s="61" t="n">
        <v>32</v>
      </c>
      <c r="B36" s="59" t="n"/>
      <c r="C36" s="60" t="inlineStr">
        <is>
          <t>계약현황 목록</t>
        </is>
      </c>
      <c r="D36" s="59" t="inlineStr">
        <is>
          <t>/pages/contract/list</t>
        </is>
      </c>
      <c r="E36" s="61" t="inlineStr">
        <is>
          <t>OM</t>
        </is>
      </c>
      <c r="F36" s="59" t="inlineStr">
        <is>
          <t>FR-OM-001, FR-OM-003</t>
        </is>
      </c>
      <c r="G36" s="59" t="inlineStr">
        <is>
          <t>(설명 미기재)</t>
        </is>
      </c>
      <c r="H36" s="60" t="inlineStr">
        <is>
          <t>⚠ 확인필요</t>
        </is>
      </c>
    </row>
    <row r="37" ht="15" customHeight="1" s="32">
      <c r="A37" s="61" t="n">
        <v>33</v>
      </c>
      <c r="B37" s="59" t="n"/>
      <c r="C37" s="60" t="inlineStr">
        <is>
          <t>계약 상세</t>
        </is>
      </c>
      <c r="D37" s="59" t="inlineStr">
        <is>
          <t>/contract/detail/:estimateNo</t>
        </is>
      </c>
      <c r="E37" s="61" t="inlineStr">
        <is>
          <t>OM</t>
        </is>
      </c>
      <c r="F37" s="59" t="inlineStr">
        <is>
          <t>FR-OM-001~003</t>
        </is>
      </c>
      <c r="G37" s="59" t="inlineStr">
        <is>
          <t>(설명 미기재)</t>
        </is>
      </c>
      <c r="H37" s="60" t="inlineStr">
        <is>
          <t>⚠ 확인필요</t>
        </is>
      </c>
    </row>
    <row r="38" ht="15" customHeight="1" s="32">
      <c r="A38" s="61" t="n">
        <v>34</v>
      </c>
      <c r="B38" s="60" t="inlineStr">
        <is>
          <t>발주관리</t>
        </is>
      </c>
      <c r="C38" s="60" t="inlineStr">
        <is>
          <t>발주 리스트</t>
        </is>
      </c>
      <c r="D38" s="59" t="inlineStr">
        <is>
          <t>/pages/order/list</t>
        </is>
      </c>
      <c r="E38" s="61" t="inlineStr">
        <is>
          <t>OM</t>
        </is>
      </c>
      <c r="F38" s="59" t="inlineStr">
        <is>
          <t>FR-OM-006, FR-OM-007</t>
        </is>
      </c>
      <c r="G38" s="59" t="inlineStr">
        <is>
          <t>(설명 미기재)</t>
        </is>
      </c>
      <c r="H38" s="60" t="inlineStr">
        <is>
          <t>⚠ 확인필요</t>
        </is>
      </c>
    </row>
    <row r="39" ht="15" customHeight="1" s="32">
      <c r="A39" s="43" t="n">
        <v>35</v>
      </c>
      <c r="B39" s="62" t="n"/>
      <c r="C39" s="63" t="inlineStr">
        <is>
          <t>발주 현황</t>
        </is>
      </c>
      <c r="D39" s="62" t="inlineStr">
        <is>
          <t>/pages/orderstatus</t>
        </is>
      </c>
      <c r="E39" s="64" t="inlineStr">
        <is>
          <t>OM</t>
        </is>
      </c>
      <c r="F39" s="62" t="inlineStr">
        <is>
          <t>FR-OM-010</t>
        </is>
      </c>
      <c r="G39" s="63" t="inlineStr">
        <is>
          <t>발주 상태 추적</t>
        </is>
      </c>
      <c r="H39" s="62" t="inlineStr">
        <is>
          <t>v1.2 매핑</t>
        </is>
      </c>
    </row>
    <row r="40" ht="15" customHeight="1" s="32">
      <c r="A40" s="46" t="n">
        <v>36</v>
      </c>
      <c r="B40" s="48" t="inlineStr">
        <is>
          <t>발주서 관리</t>
        </is>
      </c>
      <c r="C40" s="48" t="inlineStr">
        <is>
          <t>발주서 목록</t>
        </is>
      </c>
      <c r="D40" s="49" t="inlineStr">
        <is>
          <t>/pages/orderForm/:orderNo</t>
        </is>
      </c>
      <c r="E40" s="46" t="inlineStr">
        <is>
          <t>OM</t>
        </is>
      </c>
      <c r="F40" s="49" t="inlineStr">
        <is>
          <t>FR-OM-006</t>
        </is>
      </c>
      <c r="G40" s="49" t="inlineStr">
        <is>
          <t>(설명 미기재)</t>
        </is>
      </c>
      <c r="H40" s="49" t="n"/>
    </row>
    <row r="41" ht="15" customHeight="1" s="32">
      <c r="A41" s="40" t="n">
        <v>37</v>
      </c>
      <c r="B41" s="45" t="n"/>
      <c r="C41" s="42" t="inlineStr">
        <is>
          <t>발주서 상세</t>
        </is>
      </c>
      <c r="D41" s="45" t="inlineStr">
        <is>
          <t>/:orderNo/details/:orderFormNo</t>
        </is>
      </c>
      <c r="E41" s="40" t="inlineStr">
        <is>
          <t>OM</t>
        </is>
      </c>
      <c r="F41" s="45" t="inlineStr">
        <is>
          <t>FR-OM-006</t>
        </is>
      </c>
      <c r="G41" s="45" t="inlineStr">
        <is>
          <t>(설명 미기재)</t>
        </is>
      </c>
      <c r="H41" s="45" t="n"/>
    </row>
    <row r="42" ht="15" customHeight="1" s="32">
      <c r="A42" s="64" t="n">
        <v>38</v>
      </c>
      <c r="B42" s="62" t="n"/>
      <c r="C42" s="63" t="inlineStr">
        <is>
          <t>재고 현황</t>
        </is>
      </c>
      <c r="D42" s="62" t="inlineStr">
        <is>
          <t>/:orderNo/stock</t>
        </is>
      </c>
      <c r="E42" s="64" t="inlineStr">
        <is>
          <t>OM</t>
        </is>
      </c>
      <c r="F42" s="62" t="inlineStr">
        <is>
          <t>FR-OM-010</t>
        </is>
      </c>
      <c r="G42" s="63" t="inlineStr">
        <is>
          <t>재고 현황 조회</t>
        </is>
      </c>
      <c r="H42" s="62" t="inlineStr">
        <is>
          <t>v1.2 매핑</t>
        </is>
      </c>
    </row>
    <row r="43" ht="15" customHeight="1" s="32">
      <c r="A43" s="40" t="n">
        <v>39</v>
      </c>
      <c r="B43" s="42" t="inlineStr">
        <is>
          <t>실행예산</t>
        </is>
      </c>
      <c r="C43" s="42" t="inlineStr">
        <is>
          <t>별도비 시트</t>
        </is>
      </c>
      <c r="D43" s="45" t="inlineStr">
        <is>
          <t>/pages/calculate/.../extra</t>
        </is>
      </c>
      <c r="E43" s="40" t="inlineStr">
        <is>
          <t>ES</t>
        </is>
      </c>
      <c r="F43" s="45" t="inlineStr">
        <is>
          <t>FR-ES-018</t>
        </is>
      </c>
      <c r="G43" s="42" t="inlineStr">
        <is>
          <t>별도 비용 항목 입력</t>
        </is>
      </c>
      <c r="H43" s="45" t="n"/>
    </row>
    <row r="44" ht="15" customHeight="1" s="32">
      <c r="A44" s="46" t="n">
        <v>40</v>
      </c>
      <c r="B44" s="49" t="n"/>
      <c r="C44" s="48" t="inlineStr">
        <is>
          <t>제작비 시트</t>
        </is>
      </c>
      <c r="D44" s="49" t="inlineStr">
        <is>
          <t>/.../manufacture</t>
        </is>
      </c>
      <c r="E44" s="46" t="inlineStr">
        <is>
          <t>ES</t>
        </is>
      </c>
      <c r="F44" s="49" t="inlineStr">
        <is>
          <t>FR-ES-018</t>
        </is>
      </c>
      <c r="G44" s="48" t="inlineStr">
        <is>
          <t>제작 비용 확인</t>
        </is>
      </c>
      <c r="H44" s="49" t="n"/>
    </row>
    <row r="45" ht="15" customHeight="1" s="32">
      <c r="A45" s="40" t="n">
        <v>41</v>
      </c>
      <c r="B45" s="45" t="n"/>
      <c r="C45" s="42" t="inlineStr">
        <is>
          <t>시공비 시트</t>
        </is>
      </c>
      <c r="D45" s="45" t="inlineStr">
        <is>
          <t>/.../construction</t>
        </is>
      </c>
      <c r="E45" s="40" t="inlineStr">
        <is>
          <t>ES</t>
        </is>
      </c>
      <c r="F45" s="45" t="inlineStr">
        <is>
          <t>FR-ES-018</t>
        </is>
      </c>
      <c r="G45" s="42" t="inlineStr">
        <is>
          <t>시공 비용 확인</t>
        </is>
      </c>
      <c r="H45" s="45" t="n"/>
    </row>
    <row r="46" ht="15" customHeight="1" s="32">
      <c r="A46" s="46" t="n">
        <v>42</v>
      </c>
      <c r="B46" s="49" t="n"/>
      <c r="C46" s="48" t="inlineStr">
        <is>
          <t>수수료 시트</t>
        </is>
      </c>
      <c r="D46" s="49" t="inlineStr">
        <is>
          <t>/.../commission</t>
        </is>
      </c>
      <c r="E46" s="46" t="inlineStr">
        <is>
          <t>ES</t>
        </is>
      </c>
      <c r="F46" s="49" t="inlineStr">
        <is>
          <t>FR-ES-018</t>
        </is>
      </c>
      <c r="G46" s="48" t="inlineStr">
        <is>
          <t>수수료 계산/확인</t>
        </is>
      </c>
      <c r="H46" s="49" t="n"/>
    </row>
    <row r="47" ht="15" customHeight="1" s="32">
      <c r="A47" s="64" t="n">
        <v>43</v>
      </c>
      <c r="B47" s="63" t="inlineStr">
        <is>
          <t>거래처관리</t>
        </is>
      </c>
      <c r="C47" s="63" t="inlineStr">
        <is>
          <t>거래처 목록</t>
        </is>
      </c>
      <c r="D47" s="62" t="inlineStr">
        <is>
          <t>/pages/partners/material</t>
        </is>
      </c>
      <c r="E47" s="64" t="inlineStr">
        <is>
          <t>OM</t>
        </is>
      </c>
      <c r="F47" s="62" t="inlineStr">
        <is>
          <t>FR-OM-009</t>
        </is>
      </c>
      <c r="G47" s="63" t="inlineStr">
        <is>
          <t>거래처 등록/공정 확인</t>
        </is>
      </c>
      <c r="H47" s="62" t="inlineStr">
        <is>
          <t>v1.2 매핑</t>
        </is>
      </c>
    </row>
    <row r="48" ht="15" customHeight="1" s="32">
      <c r="A48" s="64" t="n">
        <v>44</v>
      </c>
      <c r="B48" s="62" t="n"/>
      <c r="C48" s="63" t="inlineStr">
        <is>
          <t>└ 거래처 상세</t>
        </is>
      </c>
      <c r="D48" s="62" t="inlineStr">
        <is>
          <t>/material/:partnerNo</t>
        </is>
      </c>
      <c r="E48" s="64" t="inlineStr">
        <is>
          <t>OM</t>
        </is>
      </c>
      <c r="F48" s="62" t="inlineStr">
        <is>
          <t>FR-OM-009, FR-PM-003</t>
        </is>
      </c>
      <c r="G48" s="63" t="inlineStr">
        <is>
          <t>거래처 정보/단가 관리</t>
        </is>
      </c>
      <c r="H48" s="62" t="inlineStr">
        <is>
          <t>v1.2 매핑</t>
        </is>
      </c>
    </row>
    <row r="49" ht="15" customHeight="1" s="32">
      <c r="A49" s="40" t="n">
        <v>45</v>
      </c>
      <c r="B49" s="42" t="inlineStr">
        <is>
          <t>시스템관리</t>
        </is>
      </c>
      <c r="C49" s="42" t="inlineStr">
        <is>
          <t>비밀번호 변경</t>
        </is>
      </c>
      <c r="D49" s="45" t="inlineStr">
        <is>
          <t>/pages/system/user/password</t>
        </is>
      </c>
      <c r="E49" s="40" t="inlineStr">
        <is>
          <t>CM</t>
        </is>
      </c>
      <c r="F49" s="45" t="inlineStr">
        <is>
          <t>NFR-SC-CM-004</t>
        </is>
      </c>
      <c r="G49" s="42" t="inlineStr">
        <is>
          <t>비밀번호 변경</t>
        </is>
      </c>
      <c r="H49" s="45" t="n"/>
    </row>
    <row r="50" ht="15" customHeight="1" s="32">
      <c r="A50" s="46" t="n">
        <v>46</v>
      </c>
      <c r="B50" s="49" t="n"/>
      <c r="C50" s="48" t="inlineStr">
        <is>
          <t>사용자 관리</t>
        </is>
      </c>
      <c r="D50" s="49" t="inlineStr">
        <is>
          <t>/pages/system/user/users</t>
        </is>
      </c>
      <c r="E50" s="46" t="inlineStr">
        <is>
          <t>CM</t>
        </is>
      </c>
      <c r="F50" s="49" t="inlineStr">
        <is>
          <t>FR-CM-002, FR-CM-004</t>
        </is>
      </c>
      <c r="G50" s="48" t="inlineStr">
        <is>
          <t>사용자 등록/권한/수정</t>
        </is>
      </c>
      <c r="H50" s="49" t="n"/>
    </row>
    <row r="51" ht="15" customHeight="1" s="32">
      <c r="A51" s="40" t="n">
        <v>47</v>
      </c>
      <c r="B51" s="45" t="n"/>
      <c r="C51" s="42" t="inlineStr">
        <is>
          <t>사용자 상세</t>
        </is>
      </c>
      <c r="D51" s="45" t="inlineStr">
        <is>
          <t>/system/user/:userNo</t>
        </is>
      </c>
      <c r="E51" s="40" t="inlineStr">
        <is>
          <t>CM</t>
        </is>
      </c>
      <c r="F51" s="45" t="inlineStr">
        <is>
          <t>FR-CM-004</t>
        </is>
      </c>
      <c r="G51" s="42" t="inlineStr">
        <is>
          <t>사용자 정보 확인/수정</t>
        </is>
      </c>
      <c r="H51" s="45" t="n"/>
    </row>
    <row r="52" ht="15" customHeight="1" s="32">
      <c r="A52" s="46" t="n">
        <v>48</v>
      </c>
      <c r="B52" s="49" t="n"/>
      <c r="C52" s="48" t="inlineStr">
        <is>
          <t>그룹 관리</t>
        </is>
      </c>
      <c r="D52" s="49" t="inlineStr">
        <is>
          <t>/pages/system/user/group</t>
        </is>
      </c>
      <c r="E52" s="46" t="inlineStr">
        <is>
          <t>CM</t>
        </is>
      </c>
      <c r="F52" s="49" t="inlineStr">
        <is>
          <t>FR-CM-004</t>
        </is>
      </c>
      <c r="G52" s="48" t="inlineStr">
        <is>
          <t>소속 팀 확인/변경</t>
        </is>
      </c>
      <c r="H52" s="49" t="n"/>
    </row>
    <row r="53" ht="15" customHeight="1" s="32">
      <c r="A53" s="40" t="n">
        <v>49</v>
      </c>
      <c r="B53" s="42" t="inlineStr">
        <is>
          <t>도면 뷰어</t>
        </is>
      </c>
      <c r="C53" s="42" t="inlineStr">
        <is>
          <t>도면 선택기</t>
        </is>
      </c>
      <c r="D53" s="45" t="inlineStr">
        <is>
          <t>/viewer/.../selector</t>
        </is>
      </c>
      <c r="E53" s="40" t="inlineStr">
        <is>
          <t>ES</t>
        </is>
      </c>
      <c r="F53" s="45" t="inlineStr">
        <is>
          <t>FR-ES-001, FR-ES-004</t>
        </is>
      </c>
      <c r="G53" s="45" t="inlineStr">
        <is>
          <t>CAD 뷰어</t>
        </is>
      </c>
      <c r="H53" s="45" t="n"/>
    </row>
    <row r="54" ht="15" customHeight="1" s="32">
      <c r="A54" s="46" t="n">
        <v>50</v>
      </c>
      <c r="B54" s="49" t="n"/>
      <c r="C54" s="48" t="inlineStr">
        <is>
          <t>섹션 뷰어</t>
        </is>
      </c>
      <c r="D54" s="49" t="inlineStr">
        <is>
          <t>/viewer/.../section/:sectionNo</t>
        </is>
      </c>
      <c r="E54" s="46" t="inlineStr">
        <is>
          <t>ES</t>
        </is>
      </c>
      <c r="F54" s="49" t="inlineStr">
        <is>
          <t>FR-ES-002, FR-ES-006</t>
        </is>
      </c>
      <c r="G54" s="49" t="n"/>
      <c r="H54" s="49" t="n"/>
    </row>
    <row r="55" ht="22.35" customHeight="1" s="32">
      <c r="A55" s="40" t="n">
        <v>51</v>
      </c>
      <c r="B55" s="45" t="n"/>
      <c r="C55" s="42" t="inlineStr">
        <is>
          <t>도면세트 선택기</t>
        </is>
      </c>
      <c r="D55" s="45" t="inlineStr">
        <is>
          <t>/viewer/blueprintset/:ebNo/selector</t>
        </is>
      </c>
      <c r="E55" s="40" t="inlineStr">
        <is>
          <t>ES</t>
        </is>
      </c>
      <c r="F55" s="45" t="inlineStr">
        <is>
          <t>FR-ES-004</t>
        </is>
      </c>
      <c r="G55" s="45" t="n"/>
      <c r="H55" s="45" t="n"/>
    </row>
    <row r="56" ht="22.35" customHeight="1" s="32">
      <c r="A56" s="46" t="n">
        <v>52</v>
      </c>
      <c r="B56" s="48" t="inlineStr">
        <is>
          <t>문서 출력</t>
        </is>
      </c>
      <c r="C56" s="48" t="inlineStr">
        <is>
          <t>식별번호표</t>
        </is>
      </c>
      <c r="D56" s="49" t="inlineStr">
        <is>
          <t>/estimate/:estimateNo/identification</t>
        </is>
      </c>
      <c r="E56" s="46" t="inlineStr">
        <is>
          <t>ES</t>
        </is>
      </c>
      <c r="F56" s="49" t="inlineStr">
        <is>
          <t>FR-ES-019, FR-ES-021</t>
        </is>
      </c>
      <c r="G56" s="49" t="n"/>
      <c r="H56" s="49" t="n"/>
    </row>
    <row r="57" ht="22.35" customHeight="1" s="32">
      <c r="A57" s="40" t="n">
        <v>53</v>
      </c>
      <c r="B57" s="45" t="n"/>
      <c r="C57" s="42" t="inlineStr">
        <is>
          <t>환산표</t>
        </is>
      </c>
      <c r="D57" s="45" t="inlineStr">
        <is>
          <t>/estimate/:estimateNo/exchange/:productNo</t>
        </is>
      </c>
      <c r="E57" s="40" t="inlineStr">
        <is>
          <t>ES</t>
        </is>
      </c>
      <c r="F57" s="45" t="inlineStr">
        <is>
          <t>FR-ES-019</t>
        </is>
      </c>
      <c r="G57" s="45" t="n"/>
      <c r="H57" s="45" t="n"/>
    </row>
    <row r="58" ht="15" customHeight="1" s="32">
      <c r="A58" s="46" t="n">
        <v>54</v>
      </c>
      <c r="B58" s="49" t="n"/>
      <c r="C58" s="48" t="inlineStr">
        <is>
          <t>중량표</t>
        </is>
      </c>
      <c r="D58" s="49" t="inlineStr">
        <is>
          <t>/estimate/:estimateNo/weight</t>
        </is>
      </c>
      <c r="E58" s="46" t="inlineStr">
        <is>
          <t>ES</t>
        </is>
      </c>
      <c r="F58" s="49" t="inlineStr">
        <is>
          <t>FR-ES-019</t>
        </is>
      </c>
      <c r="G58" s="49" t="n"/>
      <c r="H58" s="49" t="n"/>
    </row>
    <row r="59" ht="22.35" customHeight="1" s="32">
      <c r="A59" s="40" t="n">
        <v>55</v>
      </c>
      <c r="B59" s="42" t="inlineStr">
        <is>
          <t>발주 설정</t>
        </is>
      </c>
      <c r="C59" s="42" t="inlineStr">
        <is>
          <t>섹션 목록</t>
        </is>
      </c>
      <c r="D59" s="45" t="inlineStr">
        <is>
          <t>/project/:projectNo/order/:orderNo</t>
        </is>
      </c>
      <c r="E59" s="40" t="inlineStr">
        <is>
          <t>OM</t>
        </is>
      </c>
      <c r="F59" s="45" t="inlineStr">
        <is>
          <t>FR-OM-004</t>
        </is>
      </c>
      <c r="G59" s="45" t="n"/>
      <c r="H59" s="45" t="n"/>
    </row>
    <row r="60" ht="15" customHeight="1" s="32">
      <c r="A60" s="46" t="n">
        <v>56</v>
      </c>
      <c r="B60" s="49" t="n"/>
      <c r="C60" s="48" t="inlineStr">
        <is>
          <t>코팅 설정</t>
        </is>
      </c>
      <c r="D60" s="49" t="inlineStr">
        <is>
          <t>/.../coat</t>
        </is>
      </c>
      <c r="E60" s="46" t="inlineStr">
        <is>
          <t>OM</t>
        </is>
      </c>
      <c r="F60" s="49" t="inlineStr">
        <is>
          <t>FR-OM-002</t>
        </is>
      </c>
      <c r="G60" s="49" t="n"/>
      <c r="H60" s="49" t="n"/>
    </row>
    <row r="61" ht="15" customHeight="1" s="32">
      <c r="A61" s="40" t="n">
        <v>57</v>
      </c>
      <c r="B61" s="45" t="n"/>
      <c r="C61" s="42" t="inlineStr">
        <is>
          <t>절단 계획</t>
        </is>
      </c>
      <c r="D61" s="45" t="inlineStr">
        <is>
          <t>/.../cutting</t>
        </is>
      </c>
      <c r="E61" s="40" t="inlineStr">
        <is>
          <t>OM</t>
        </is>
      </c>
      <c r="F61" s="45" t="inlineStr">
        <is>
          <t>FR-OM-004, FR-OM-005</t>
        </is>
      </c>
      <c r="G61" s="42" t="inlineStr">
        <is>
          <t>최적절단</t>
        </is>
      </c>
      <c r="H61" s="45" t="n"/>
    </row>
    <row r="62" ht="15" customHeight="1" s="32">
      <c r="A62" s="46" t="n">
        <v>58</v>
      </c>
      <c r="B62" s="49" t="n"/>
      <c r="C62" s="48" t="inlineStr">
        <is>
          <t>공정 설정</t>
        </is>
      </c>
      <c r="D62" s="49" t="inlineStr">
        <is>
          <t>/.../process</t>
        </is>
      </c>
      <c r="E62" s="46" t="inlineStr">
        <is>
          <t>OM</t>
        </is>
      </c>
      <c r="F62" s="49" t="inlineStr">
        <is>
          <t>FR-OM-008</t>
        </is>
      </c>
      <c r="G62" s="48" t="inlineStr">
        <is>
          <t>널링지시서</t>
        </is>
      </c>
      <c r="H62" s="49" t="n"/>
    </row>
    <row r="63" ht="15" customHeight="1" s="32">
      <c r="A63" s="64" t="n">
        <v>59</v>
      </c>
      <c r="B63" s="62" t="n"/>
      <c r="C63" s="63" t="inlineStr">
        <is>
          <t>재고 사용</t>
        </is>
      </c>
      <c r="D63" s="62" t="inlineStr">
        <is>
          <t>/.../stock</t>
        </is>
      </c>
      <c r="E63" s="64" t="inlineStr">
        <is>
          <t>OM</t>
        </is>
      </c>
      <c r="F63" s="62" t="inlineStr">
        <is>
          <t>FR-OM-010</t>
        </is>
      </c>
      <c r="G63" s="63" t="inlineStr">
        <is>
          <t>재고 사용 관리</t>
        </is>
      </c>
      <c r="H63" s="62" t="inlineStr">
        <is>
          <t>v1.2 매핑</t>
        </is>
      </c>
    </row>
  </sheetData>
  <autoFilter ref="A4:H63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2026-04-03T09:40:38Z</dcterms:created>
  <dcterms:modified xmlns:dcterms="http://purl.org/dc/terms/" xmlns:xsi="http://www.w3.org/2001/XMLSchema-instance" xsi:type="dcterms:W3CDTF">2026-04-06T07:17:23Z</dcterms:modified>
  <cp:revision>0</cp:revision>
</cp:coreProperties>
</file>