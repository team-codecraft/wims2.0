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기능 요구사항 목록" sheetId="1" state="visible" r:id="rId3"/>
    <sheet name="비기능 요구사항 목록" sheetId="2" state="visible" r:id="rId4"/>
    <sheet name="요약 통계" sheetId="3" state="visible" r:id="rId5"/>
    <sheet name="사이트맵-요구사항 매핑" sheetId="4" state="visible" r:id="rId6"/>
  </sheets>
  <definedNames>
    <definedName function="false" hidden="true" localSheetId="0" name="_xlnm._FilterDatabase" vbProcedure="false">'기능 요구사항 목록'!$A$4:$L$83</definedName>
    <definedName function="false" hidden="true" localSheetId="1" name="_xlnm._FilterDatabase" vbProcedure="false">'비기능 요구사항 목록'!$A$4:$K$61</definedName>
    <definedName function="false" hidden="true" localSheetId="3" name="_xlnm._FilterDatabase" vbProcedure="false">'사이트맵-요구사항 매핑'!$A$4:$H$63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<sst xmlns="http://schemas.openxmlformats.org/spreadsheetml/2006/main" count="1740" uniqueCount="752">
  <si>
    <r>
      <rPr>
        <b val="true"/>
        <sz val="14"/>
        <color rgb="FF1F4E79"/>
        <rFont val="맑은 고딕"/>
        <family val="0"/>
        <charset val="1"/>
      </rPr>
      <t xml:space="preserve">WIMS 2.0 </t>
    </r>
    <r>
      <rPr>
        <b val="true"/>
        <sz val="14"/>
        <color rgb="FF1F4E79"/>
        <rFont val="DejaVu Sans"/>
        <family val="2"/>
      </rPr>
      <t xml:space="preserve">기능 요구사항 목록 </t>
    </r>
    <r>
      <rPr>
        <b val="true"/>
        <sz val="14"/>
        <color rgb="FF1F4E79"/>
        <rFont val="맑은 고딕"/>
        <family val="0"/>
        <charset val="1"/>
      </rPr>
      <t xml:space="preserve">(AN12-1)</t>
    </r>
  </si>
  <si>
    <r>
      <rPr>
        <sz val="9"/>
        <color rgb="FF666666"/>
        <rFont val="DejaVu Sans"/>
        <family val="2"/>
      </rPr>
      <t xml:space="preserve">문서코드</t>
    </r>
    <r>
      <rPr>
        <sz val="9"/>
        <color rgb="FF666666"/>
        <rFont val="맑은 고딕"/>
        <family val="0"/>
        <charset val="1"/>
      </rPr>
      <t xml:space="preserve">: AN12-1  |  </t>
    </r>
    <r>
      <rPr>
        <sz val="9"/>
        <color rgb="FF666666"/>
        <rFont val="DejaVu Sans"/>
        <family val="2"/>
      </rPr>
      <t xml:space="preserve">버전</t>
    </r>
    <r>
      <rPr>
        <sz val="9"/>
        <color rgb="FF666666"/>
        <rFont val="맑은 고딕"/>
        <family val="0"/>
        <charset val="1"/>
      </rPr>
      <t xml:space="preserve">: v1.1  |  </t>
    </r>
    <r>
      <rPr>
        <sz val="9"/>
        <color rgb="FF666666"/>
        <rFont val="DejaVu Sans"/>
        <family val="2"/>
      </rPr>
      <t xml:space="preserve">작성일</t>
    </r>
    <r>
      <rPr>
        <sz val="9"/>
        <color rgb="FF666666"/>
        <rFont val="맑은 고딕"/>
        <family val="0"/>
        <charset val="1"/>
      </rPr>
      <t xml:space="preserve">: 2026.04.03  |  </t>
    </r>
    <r>
      <rPr>
        <sz val="9"/>
        <color rgb="FF666666"/>
        <rFont val="DejaVu Sans"/>
        <family val="2"/>
      </rPr>
      <t xml:space="preserve">작성자</t>
    </r>
    <r>
      <rPr>
        <sz val="9"/>
        <color rgb="FF666666"/>
        <rFont val="맑은 고딕"/>
        <family val="0"/>
        <charset val="1"/>
      </rPr>
      <t xml:space="preserve">: </t>
    </r>
    <r>
      <rPr>
        <sz val="9"/>
        <color rgb="FF666666"/>
        <rFont val="DejaVu Sans"/>
        <family val="2"/>
      </rPr>
      <t xml:space="preserve">김성현</t>
    </r>
    <r>
      <rPr>
        <sz val="9"/>
        <color rgb="FF666666"/>
        <rFont val="맑은 고딕"/>
        <family val="0"/>
        <charset val="1"/>
      </rPr>
      <t xml:space="preserve">(BA)  |  </t>
    </r>
    <r>
      <rPr>
        <sz val="9"/>
        <color rgb="FF666666"/>
        <rFont val="DejaVu Sans"/>
        <family val="2"/>
      </rPr>
      <t xml:space="preserve">검토자</t>
    </r>
    <r>
      <rPr>
        <sz val="9"/>
        <color rgb="FF666666"/>
        <rFont val="맑은 고딕"/>
        <family val="0"/>
        <charset val="1"/>
      </rPr>
      <t xml:space="preserve">: </t>
    </r>
    <r>
      <rPr>
        <sz val="9"/>
        <color rgb="FF666666"/>
        <rFont val="DejaVu Sans"/>
        <family val="2"/>
      </rPr>
      <t xml:space="preserve">김지광</t>
    </r>
    <r>
      <rPr>
        <sz val="9"/>
        <color rgb="FF666666"/>
        <rFont val="맑은 고딕"/>
        <family val="0"/>
        <charset val="1"/>
      </rPr>
      <t xml:space="preserve">(PM)</t>
    </r>
  </si>
  <si>
    <t xml:space="preserve">No</t>
  </si>
  <si>
    <r>
      <rPr>
        <b val="true"/>
        <sz val="10"/>
        <color rgb="FFFFFFFF"/>
        <rFont val="DejaVu Sans"/>
        <family val="2"/>
      </rPr>
      <t xml:space="preserve">요구사항 </t>
    </r>
    <r>
      <rPr>
        <b val="true"/>
        <sz val="10"/>
        <color rgb="FFFFFFFF"/>
        <rFont val="맑은 고딕"/>
        <family val="0"/>
        <charset val="1"/>
      </rPr>
      <t xml:space="preserve">ID</t>
    </r>
  </si>
  <si>
    <t xml:space="preserve">서브시스템</t>
  </si>
  <si>
    <t xml:space="preserve">기능 영역</t>
  </si>
  <si>
    <t xml:space="preserve">요구사항 명</t>
  </si>
  <si>
    <t xml:space="preserve">요구사항 설명</t>
  </si>
  <si>
    <t xml:space="preserve">현행 화면 매핑</t>
  </si>
  <si>
    <t xml:space="preserve">난이도</t>
  </si>
  <si>
    <t xml:space="preserve">수용여부</t>
  </si>
  <si>
    <t xml:space="preserve">Phase</t>
  </si>
  <si>
    <t xml:space="preserve">우선순위</t>
  </si>
  <si>
    <t xml:space="preserve">출처</t>
  </si>
  <si>
    <r>
      <rPr>
        <b val="true"/>
        <sz val="10"/>
        <color rgb="FF1F4E79"/>
        <rFont val="DejaVu Sans"/>
        <family val="2"/>
      </rPr>
      <t xml:space="preserve">① 제품관리 </t>
    </r>
    <r>
      <rPr>
        <b val="true"/>
        <sz val="10"/>
        <color rgb="FF1F4E79"/>
        <rFont val="맑은 고딕"/>
        <family val="0"/>
        <charset val="1"/>
      </rPr>
      <t xml:space="preserve">(PM)</t>
    </r>
  </si>
  <si>
    <t xml:space="preserve">FR-PM-001</t>
  </si>
  <si>
    <t xml:space="preserve">PM</t>
  </si>
  <si>
    <t xml:space="preserve">자재관리</t>
  </si>
  <si>
    <r>
      <rPr>
        <sz val="9"/>
        <rFont val="DejaVu Sans"/>
        <family val="2"/>
      </rPr>
      <t xml:space="preserve">원자재 규격 정보 등록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관리</t>
    </r>
  </si>
  <si>
    <r>
      <rPr>
        <sz val="9"/>
        <rFont val="DejaVu Sans"/>
        <family val="2"/>
      </rPr>
      <t xml:space="preserve">원자재</t>
    </r>
    <r>
      <rPr>
        <sz val="9"/>
        <rFont val="맑은 고딕"/>
        <family val="0"/>
        <charset val="1"/>
      </rPr>
      <t xml:space="preserve">(</t>
    </r>
    <r>
      <rPr>
        <sz val="9"/>
        <rFont val="DejaVu Sans"/>
        <family val="2"/>
      </rPr>
      <t xml:space="preserve">프레임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유리 등</t>
    </r>
    <r>
      <rPr>
        <sz val="9"/>
        <rFont val="맑은 고딕"/>
        <family val="0"/>
        <charset val="1"/>
      </rPr>
      <t xml:space="preserve">)</t>
    </r>
    <r>
      <rPr>
        <sz val="9"/>
        <rFont val="DejaVu Sans"/>
        <family val="2"/>
      </rPr>
      <t xml:space="preserve">의 규격 정보</t>
    </r>
    <r>
      <rPr>
        <sz val="9"/>
        <rFont val="맑은 고딕"/>
        <family val="0"/>
        <charset val="1"/>
      </rPr>
      <t xml:space="preserve">(</t>
    </r>
    <r>
      <rPr>
        <sz val="9"/>
        <rFont val="DejaVu Sans"/>
        <family val="2"/>
      </rPr>
      <t xml:space="preserve">재질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치수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중량 등</t>
    </r>
    <r>
      <rPr>
        <sz val="9"/>
        <rFont val="맑은 고딕"/>
        <family val="0"/>
        <charset val="1"/>
      </rPr>
      <t xml:space="preserve">)</t>
    </r>
    <r>
      <rPr>
        <sz val="9"/>
        <rFont val="DejaVu Sans"/>
        <family val="2"/>
      </rPr>
      <t xml:space="preserve">를 등록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수정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삭제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조회</t>
    </r>
  </si>
  <si>
    <r>
      <rPr>
        <sz val="9"/>
        <rFont val="DejaVu Sans"/>
        <family val="2"/>
      </rPr>
      <t xml:space="preserve">자재관리 </t>
    </r>
    <r>
      <rPr>
        <sz val="9"/>
        <rFont val="맑은 고딕"/>
        <family val="0"/>
        <charset val="1"/>
      </rPr>
      <t xml:space="preserve">&gt; </t>
    </r>
    <r>
      <rPr>
        <sz val="9"/>
        <rFont val="DejaVu Sans"/>
        <family val="2"/>
      </rPr>
      <t xml:space="preserve">원자재 목록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상세</t>
    </r>
  </si>
  <si>
    <t xml:space="preserve">하</t>
  </si>
  <si>
    <t xml:space="preserve">수용</t>
  </si>
  <si>
    <t xml:space="preserve">P1</t>
  </si>
  <si>
    <t xml:space="preserve">상</t>
  </si>
  <si>
    <r>
      <rPr>
        <sz val="9"/>
        <rFont val="맑은 고딕"/>
        <family val="0"/>
        <charset val="1"/>
      </rPr>
      <t xml:space="preserve">AN11-2, </t>
    </r>
    <r>
      <rPr>
        <sz val="9"/>
        <rFont val="DejaVu Sans"/>
        <family val="2"/>
      </rPr>
      <t xml:space="preserve">개발계획서 </t>
    </r>
    <r>
      <rPr>
        <sz val="9"/>
        <rFont val="맑은 고딕"/>
        <family val="0"/>
        <charset val="1"/>
      </rPr>
      <t xml:space="preserve">§3.2①</t>
    </r>
  </si>
  <si>
    <t xml:space="preserve">FR-PM-002</t>
  </si>
  <si>
    <r>
      <rPr>
        <sz val="9"/>
        <rFont val="DejaVu Sans"/>
        <family val="2"/>
      </rPr>
      <t xml:space="preserve">부자재 규격 정보 등록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관리</t>
    </r>
  </si>
  <si>
    <r>
      <rPr>
        <sz val="9"/>
        <rFont val="DejaVu Sans"/>
        <family val="2"/>
      </rPr>
      <t xml:space="preserve">부자재</t>
    </r>
    <r>
      <rPr>
        <sz val="9"/>
        <rFont val="맑은 고딕"/>
        <family val="0"/>
        <charset val="1"/>
      </rPr>
      <t xml:space="preserve">(</t>
    </r>
    <r>
      <rPr>
        <sz val="9"/>
        <rFont val="DejaVu Sans"/>
        <family val="2"/>
      </rPr>
      <t xml:space="preserve">부속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가스켓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실란트 등</t>
    </r>
    <r>
      <rPr>
        <sz val="9"/>
        <rFont val="맑은 고딕"/>
        <family val="0"/>
        <charset val="1"/>
      </rPr>
      <t xml:space="preserve">)</t>
    </r>
    <r>
      <rPr>
        <sz val="9"/>
        <rFont val="DejaVu Sans"/>
        <family val="2"/>
      </rPr>
      <t xml:space="preserve">의 규격 정보를 등록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수정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삭제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조회</t>
    </r>
  </si>
  <si>
    <r>
      <rPr>
        <sz val="9"/>
        <rFont val="DejaVu Sans"/>
        <family val="2"/>
      </rPr>
      <t xml:space="preserve">자재관리 </t>
    </r>
    <r>
      <rPr>
        <sz val="9"/>
        <rFont val="맑은 고딕"/>
        <family val="0"/>
        <charset val="1"/>
      </rPr>
      <t xml:space="preserve">&gt; </t>
    </r>
    <r>
      <rPr>
        <sz val="9"/>
        <rFont val="DejaVu Sans"/>
        <family val="2"/>
      </rPr>
      <t xml:space="preserve">원자재 목록</t>
    </r>
    <r>
      <rPr>
        <sz val="9"/>
        <rFont val="맑은 고딕"/>
        <family val="0"/>
        <charset val="1"/>
      </rPr>
      <t xml:space="preserve">(</t>
    </r>
    <r>
      <rPr>
        <sz val="9"/>
        <rFont val="DejaVu Sans"/>
        <family val="2"/>
      </rPr>
      <t xml:space="preserve">부자재탭</t>
    </r>
    <r>
      <rPr>
        <sz val="9"/>
        <rFont val="맑은 고딕"/>
        <family val="0"/>
        <charset val="1"/>
      </rPr>
      <t xml:space="preserve">)</t>
    </r>
  </si>
  <si>
    <t xml:space="preserve">FR-PM-003</t>
  </si>
  <si>
    <t xml:space="preserve">구매 단가 이력 관리</t>
  </si>
  <si>
    <r>
      <rPr>
        <sz val="9"/>
        <rFont val="DejaVu Sans"/>
        <family val="2"/>
      </rPr>
      <t xml:space="preserve">자재별 구매 단가를 기간별로 이력 관리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단가 변경 시 이전 이력 보존</t>
    </r>
  </si>
  <si>
    <r>
      <rPr>
        <sz val="9"/>
        <rFont val="DejaVu Sans"/>
        <family val="2"/>
      </rPr>
      <t xml:space="preserve">자재관리 </t>
    </r>
    <r>
      <rPr>
        <sz val="9"/>
        <rFont val="맑은 고딕"/>
        <family val="0"/>
        <charset val="1"/>
      </rPr>
      <t xml:space="preserve">&gt; </t>
    </r>
    <r>
      <rPr>
        <sz val="9"/>
        <rFont val="DejaVu Sans"/>
        <family val="2"/>
      </rPr>
      <t xml:space="preserve">원자재 상세</t>
    </r>
  </si>
  <si>
    <t xml:space="preserve">중</t>
  </si>
  <si>
    <r>
      <rPr>
        <sz val="9"/>
        <rFont val="DejaVu Sans"/>
        <family val="2"/>
      </rPr>
      <t xml:space="preserve">개발계획서 </t>
    </r>
    <r>
      <rPr>
        <sz val="9"/>
        <rFont val="맑은 고딕"/>
        <family val="0"/>
        <charset val="1"/>
      </rPr>
      <t xml:space="preserve">§3.2①</t>
    </r>
  </si>
  <si>
    <t xml:space="preserve">FR-PM-004</t>
  </si>
  <si>
    <t xml:space="preserve">자재 코드 체계 표준화</t>
  </si>
  <si>
    <t xml:space="preserve">자재 코드 부여 규칙 표준화 및 기존 비표준 코드 전환</t>
  </si>
  <si>
    <r>
      <rPr>
        <sz val="9"/>
        <rFont val="DejaVu Sans"/>
        <family val="2"/>
      </rPr>
      <t xml:space="preserve">자재관리 </t>
    </r>
    <r>
      <rPr>
        <sz val="9"/>
        <rFont val="맑은 고딕"/>
        <family val="0"/>
        <charset val="1"/>
      </rPr>
      <t xml:space="preserve">&gt; </t>
    </r>
    <r>
      <rPr>
        <sz val="9"/>
        <rFont val="DejaVu Sans"/>
        <family val="2"/>
      </rPr>
      <t xml:space="preserve">원자재 목록</t>
    </r>
  </si>
  <si>
    <r>
      <rPr>
        <sz val="9"/>
        <rFont val="맑은 고딕"/>
        <family val="0"/>
        <charset val="1"/>
      </rPr>
      <t xml:space="preserve">AN11-2 </t>
    </r>
    <r>
      <rPr>
        <sz val="9"/>
        <rFont val="DejaVu Sans"/>
        <family val="2"/>
      </rPr>
      <t xml:space="preserve">만족도 </t>
    </r>
    <r>
      <rPr>
        <sz val="9"/>
        <rFont val="맑은 고딕"/>
        <family val="0"/>
        <charset val="1"/>
      </rPr>
      <t xml:space="preserve">1.33</t>
    </r>
    <r>
      <rPr>
        <sz val="9"/>
        <rFont val="DejaVu Sans"/>
        <family val="2"/>
      </rPr>
      <t xml:space="preserve">점</t>
    </r>
  </si>
  <si>
    <t xml:space="preserve">FR-PM-005</t>
  </si>
  <si>
    <t xml:space="preserve">자재 등록 간소화 및 복사 기능</t>
  </si>
  <si>
    <r>
      <rPr>
        <sz val="9"/>
        <rFont val="DejaVu Sans"/>
        <family val="2"/>
      </rPr>
      <t xml:space="preserve">유사 자재 복사 등록 및 </t>
    </r>
    <r>
      <rPr>
        <sz val="9"/>
        <rFont val="맑은 고딕"/>
        <family val="0"/>
        <charset val="1"/>
      </rPr>
      <t xml:space="preserve">Excel </t>
    </r>
    <r>
      <rPr>
        <sz val="9"/>
        <rFont val="DejaVu Sans"/>
        <family val="2"/>
      </rPr>
      <t xml:space="preserve">일괄 업로드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다운로드 기능</t>
    </r>
  </si>
  <si>
    <r>
      <rPr>
        <sz val="9"/>
        <rFont val="맑은 고딕"/>
        <family val="0"/>
        <charset val="1"/>
      </rPr>
      <t xml:space="preserve">AN11-2 </t>
    </r>
    <r>
      <rPr>
        <sz val="9"/>
        <rFont val="DejaVu Sans"/>
        <family val="2"/>
      </rPr>
      <t xml:space="preserve">핵심</t>
    </r>
    <r>
      <rPr>
        <sz val="9"/>
        <rFont val="맑은 고딕"/>
        <family val="0"/>
        <charset val="1"/>
      </rPr>
      <t xml:space="preserve">#9(2</t>
    </r>
    <r>
      <rPr>
        <sz val="9"/>
        <rFont val="DejaVu Sans"/>
        <family val="2"/>
      </rPr>
      <t xml:space="preserve">명</t>
    </r>
    <r>
      <rPr>
        <sz val="9"/>
        <rFont val="맑은 고딕"/>
        <family val="0"/>
        <charset val="1"/>
      </rPr>
      <t xml:space="preserve">)</t>
    </r>
  </si>
  <si>
    <t xml:space="preserve">FR-PM-006</t>
  </si>
  <si>
    <t xml:space="preserve">자재 필요수량 자동 산출</t>
  </si>
  <si>
    <r>
      <rPr>
        <sz val="9"/>
        <rFont val="맑은 고딕"/>
        <family val="0"/>
        <charset val="1"/>
      </rPr>
      <t xml:space="preserve">BOM </t>
    </r>
    <r>
      <rPr>
        <sz val="9"/>
        <rFont val="DejaVu Sans"/>
        <family val="2"/>
      </rPr>
      <t xml:space="preserve">구조 기반 제품 생산에 필요한 자재별 필요수량 자동 산출</t>
    </r>
  </si>
  <si>
    <r>
      <rPr>
        <sz val="9"/>
        <rFont val="DejaVu Sans"/>
        <family val="2"/>
      </rPr>
      <t xml:space="preserve">견적설계 </t>
    </r>
    <r>
      <rPr>
        <sz val="9"/>
        <rFont val="맑은 고딕"/>
        <family val="0"/>
        <charset val="1"/>
      </rPr>
      <t xml:space="preserve">&gt; </t>
    </r>
    <r>
      <rPr>
        <sz val="9"/>
        <rFont val="DejaVu Sans"/>
        <family val="2"/>
      </rPr>
      <t xml:space="preserve">발주 탭</t>
    </r>
  </si>
  <si>
    <r>
      <rPr>
        <sz val="9"/>
        <rFont val="맑은 고딕"/>
        <family val="0"/>
        <charset val="1"/>
      </rPr>
      <t xml:space="preserve">AN11-2, </t>
    </r>
    <r>
      <rPr>
        <sz val="9"/>
        <rFont val="DejaVu Sans"/>
        <family val="2"/>
      </rPr>
      <t xml:space="preserve">업체요청</t>
    </r>
  </si>
  <si>
    <t xml:space="preserve">FR-PM-007</t>
  </si>
  <si>
    <t xml:space="preserve">자재 단가 자동 업데이트</t>
  </si>
  <si>
    <t xml:space="preserve">거래처 단가 변경 시 자재 마스터 구매 단가 자동 업데이트 및 알림</t>
  </si>
  <si>
    <t xml:space="preserve">일부수용</t>
  </si>
  <si>
    <r>
      <rPr>
        <sz val="9"/>
        <rFont val="맑은 고딕"/>
        <family val="0"/>
        <charset val="1"/>
      </rPr>
      <t xml:space="preserve">AN11-2 </t>
    </r>
    <r>
      <rPr>
        <sz val="9"/>
        <rFont val="DejaVu Sans"/>
        <family val="2"/>
      </rPr>
      <t xml:space="preserve">자재영역</t>
    </r>
  </si>
  <si>
    <t xml:space="preserve">FR-PM-008</t>
  </si>
  <si>
    <t xml:space="preserve">공정관리</t>
  </si>
  <si>
    <t xml:space="preserve">공정 유형별 등록 및 관리</t>
  </si>
  <si>
    <r>
      <rPr>
        <sz val="9"/>
        <rFont val="DejaVu Sans"/>
        <family val="2"/>
      </rPr>
      <t xml:space="preserve">도장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코팅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널링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절단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가공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조립 등 공정 유형 등록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수정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삭제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조회</t>
    </r>
  </si>
  <si>
    <r>
      <rPr>
        <sz val="9"/>
        <rFont val="DejaVu Sans"/>
        <family val="2"/>
      </rPr>
      <t xml:space="preserve">제품관리 </t>
    </r>
    <r>
      <rPr>
        <sz val="9"/>
        <rFont val="맑은 고딕"/>
        <family val="0"/>
        <charset val="1"/>
      </rPr>
      <t xml:space="preserve">&gt; (</t>
    </r>
    <r>
      <rPr>
        <sz val="9"/>
        <rFont val="DejaVu Sans"/>
        <family val="2"/>
      </rPr>
      <t xml:space="preserve">신규</t>
    </r>
    <r>
      <rPr>
        <sz val="9"/>
        <rFont val="맑은 고딕"/>
        <family val="0"/>
        <charset val="1"/>
      </rPr>
      <t xml:space="preserve">)</t>
    </r>
  </si>
  <si>
    <t xml:space="preserve">FR-PM-009</t>
  </si>
  <si>
    <t xml:space="preserve">공정별 규격 및 제조 단가 관리</t>
  </si>
  <si>
    <r>
      <rPr>
        <sz val="9"/>
        <rFont val="DejaVu Sans"/>
        <family val="2"/>
      </rPr>
      <t xml:space="preserve">각 공정별 규격</t>
    </r>
    <r>
      <rPr>
        <sz val="9"/>
        <rFont val="맑은 고딕"/>
        <family val="0"/>
        <charset val="1"/>
      </rPr>
      <t xml:space="preserve">(</t>
    </r>
    <r>
      <rPr>
        <sz val="9"/>
        <rFont val="DejaVu Sans"/>
        <family val="2"/>
      </rPr>
      <t xml:space="preserve">조건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속도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온도 등</t>
    </r>
    <r>
      <rPr>
        <sz val="9"/>
        <rFont val="맑은 고딕"/>
        <family val="0"/>
        <charset val="1"/>
      </rPr>
      <t xml:space="preserve">)</t>
    </r>
    <r>
      <rPr>
        <sz val="9"/>
        <rFont val="DejaVu Sans"/>
        <family val="2"/>
      </rPr>
      <t xml:space="preserve">과 제조 단가 관리</t>
    </r>
  </si>
  <si>
    <t xml:space="preserve">FR-PM-010</t>
  </si>
  <si>
    <r>
      <rPr>
        <sz val="9"/>
        <rFont val="맑은 고딕"/>
        <family val="0"/>
        <charset val="1"/>
      </rPr>
      <t xml:space="preserve">BOM</t>
    </r>
    <r>
      <rPr>
        <sz val="9"/>
        <rFont val="DejaVu Sans"/>
        <family val="2"/>
      </rPr>
      <t xml:space="preserve">관리</t>
    </r>
  </si>
  <si>
    <r>
      <rPr>
        <sz val="9"/>
        <rFont val="DejaVu Sans"/>
        <family val="2"/>
      </rPr>
      <t xml:space="preserve">다단계 제조 </t>
    </r>
    <r>
      <rPr>
        <sz val="9"/>
        <rFont val="맑은 고딕"/>
        <family val="0"/>
        <charset val="1"/>
      </rPr>
      <t xml:space="preserve">BOM </t>
    </r>
    <r>
      <rPr>
        <sz val="9"/>
        <rFont val="DejaVu Sans"/>
        <family val="2"/>
      </rPr>
      <t xml:space="preserve">구성</t>
    </r>
  </si>
  <si>
    <r>
      <rPr>
        <sz val="9"/>
        <rFont val="DejaVu Sans"/>
        <family val="2"/>
      </rPr>
      <t xml:space="preserve">원자재</t>
    </r>
    <r>
      <rPr>
        <sz val="9"/>
        <rFont val="맑은 고딕"/>
        <family val="0"/>
        <charset val="1"/>
      </rPr>
      <t xml:space="preserve">+</t>
    </r>
    <r>
      <rPr>
        <sz val="9"/>
        <rFont val="DejaVu Sans"/>
        <family val="2"/>
      </rPr>
      <t xml:space="preserve">부자재</t>
    </r>
    <r>
      <rPr>
        <sz val="9"/>
        <rFont val="맑은 고딕"/>
        <family val="0"/>
        <charset val="1"/>
      </rPr>
      <t xml:space="preserve">+</t>
    </r>
    <r>
      <rPr>
        <sz val="9"/>
        <rFont val="DejaVu Sans"/>
        <family val="2"/>
      </rPr>
      <t xml:space="preserve">공정</t>
    </r>
    <r>
      <rPr>
        <sz val="9"/>
        <rFont val="맑은 고딕"/>
        <family val="0"/>
        <charset val="1"/>
      </rPr>
      <t xml:space="preserve">+</t>
    </r>
    <r>
      <rPr>
        <sz val="9"/>
        <rFont val="DejaVu Sans"/>
        <family val="2"/>
      </rPr>
      <t xml:space="preserve">제조룰을 조합한 다단계 제조 </t>
    </r>
    <r>
      <rPr>
        <sz val="9"/>
        <rFont val="맑은 고딕"/>
        <family val="0"/>
        <charset val="1"/>
      </rPr>
      <t xml:space="preserve">BOM </t>
    </r>
    <r>
      <rPr>
        <sz val="9"/>
        <rFont val="DejaVu Sans"/>
        <family val="2"/>
      </rPr>
      <t xml:space="preserve">구성</t>
    </r>
  </si>
  <si>
    <r>
      <rPr>
        <sz val="9"/>
        <rFont val="DejaVu Sans"/>
        <family val="2"/>
      </rPr>
      <t xml:space="preserve">제품관리 </t>
    </r>
    <r>
      <rPr>
        <sz val="9"/>
        <rFont val="맑은 고딕"/>
        <family val="0"/>
        <charset val="1"/>
      </rPr>
      <t xml:space="preserve">&gt; </t>
    </r>
    <r>
      <rPr>
        <sz val="9"/>
        <rFont val="DejaVu Sans"/>
        <family val="2"/>
      </rPr>
      <t xml:space="preserve">판매제품 상세</t>
    </r>
  </si>
  <si>
    <t xml:space="preserve">최상</t>
  </si>
  <si>
    <t xml:space="preserve">FR-PM-011</t>
  </si>
  <si>
    <r>
      <rPr>
        <sz val="9"/>
        <rFont val="맑은 고딕"/>
        <family val="0"/>
        <charset val="1"/>
      </rPr>
      <t xml:space="preserve">BOM </t>
    </r>
    <r>
      <rPr>
        <sz val="9"/>
        <rFont val="DejaVu Sans"/>
        <family val="2"/>
      </rPr>
      <t xml:space="preserve">계층 구조 트리 뷰 </t>
    </r>
    <r>
      <rPr>
        <sz val="9"/>
        <rFont val="맑은 고딕"/>
        <family val="0"/>
        <charset val="1"/>
      </rPr>
      <t xml:space="preserve">GUI</t>
    </r>
  </si>
  <si>
    <r>
      <rPr>
        <sz val="9"/>
        <rFont val="맑은 고딕"/>
        <family val="0"/>
        <charset val="1"/>
      </rPr>
      <t xml:space="preserve">BOM </t>
    </r>
    <r>
      <rPr>
        <sz val="9"/>
        <rFont val="DejaVu Sans"/>
        <family val="2"/>
      </rPr>
      <t xml:space="preserve">계층을 트리 뷰로 시각화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노드 펼침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접기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드래그</t>
    </r>
    <r>
      <rPr>
        <sz val="9"/>
        <rFont val="맑은 고딕"/>
        <family val="0"/>
        <charset val="1"/>
      </rPr>
      <t xml:space="preserve">&amp;</t>
    </r>
    <r>
      <rPr>
        <sz val="9"/>
        <rFont val="DejaVu Sans"/>
        <family val="2"/>
      </rPr>
      <t xml:space="preserve">드롭 구성 변경</t>
    </r>
  </si>
  <si>
    <t xml:space="preserve">FR-PM-012</t>
  </si>
  <si>
    <r>
      <rPr>
        <sz val="9"/>
        <rFont val="맑은 고딕"/>
        <family val="0"/>
        <charset val="1"/>
      </rPr>
      <t xml:space="preserve">BOM </t>
    </r>
    <r>
      <rPr>
        <sz val="9"/>
        <rFont val="DejaVu Sans"/>
        <family val="2"/>
      </rPr>
      <t xml:space="preserve">버전 관리 및 변경 이력 추적</t>
    </r>
  </si>
  <si>
    <r>
      <rPr>
        <sz val="9"/>
        <rFont val="맑은 고딕"/>
        <family val="0"/>
        <charset val="1"/>
      </rPr>
      <t xml:space="preserve">BOM </t>
    </r>
    <r>
      <rPr>
        <sz val="9"/>
        <rFont val="DejaVu Sans"/>
        <family val="2"/>
      </rPr>
      <t xml:space="preserve">변경 시 버전 자동 생성 및 변경 이력 추적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이전 버전 복원</t>
    </r>
  </si>
  <si>
    <t xml:space="preserve">FR-PM-013</t>
  </si>
  <si>
    <r>
      <rPr>
        <sz val="9"/>
        <rFont val="맑은 고딕"/>
        <family val="0"/>
        <charset val="1"/>
      </rPr>
      <t xml:space="preserve">MES</t>
    </r>
    <r>
      <rPr>
        <sz val="9"/>
        <rFont val="DejaVu Sans"/>
        <family val="2"/>
      </rPr>
      <t xml:space="preserve">연동</t>
    </r>
  </si>
  <si>
    <r>
      <rPr>
        <sz val="9"/>
        <rFont val="맑은 고딕"/>
        <family val="0"/>
        <charset val="1"/>
      </rPr>
      <t xml:space="preserve">MES </t>
    </r>
    <r>
      <rPr>
        <sz val="9"/>
        <rFont val="DejaVu Sans"/>
        <family val="2"/>
      </rPr>
      <t xml:space="preserve">연동 </t>
    </r>
    <r>
      <rPr>
        <sz val="9"/>
        <rFont val="맑은 고딕"/>
        <family val="0"/>
        <charset val="1"/>
      </rPr>
      <t xml:space="preserve">BOM </t>
    </r>
    <r>
      <rPr>
        <sz val="9"/>
        <rFont val="DejaVu Sans"/>
        <family val="2"/>
      </rPr>
      <t xml:space="preserve">데이터 인터페이스</t>
    </r>
  </si>
  <si>
    <r>
      <rPr>
        <sz val="9"/>
        <rFont val="맑은 고딕"/>
        <family val="0"/>
        <charset val="1"/>
      </rPr>
      <t xml:space="preserve">MES </t>
    </r>
    <r>
      <rPr>
        <sz val="9"/>
        <rFont val="DejaVu Sans"/>
        <family val="2"/>
      </rPr>
      <t xml:space="preserve">시스템이 </t>
    </r>
    <r>
      <rPr>
        <sz val="9"/>
        <rFont val="맑은 고딕"/>
        <family val="0"/>
        <charset val="1"/>
      </rPr>
      <t xml:space="preserve">WIMS</t>
    </r>
    <r>
      <rPr>
        <sz val="9"/>
        <rFont val="DejaVu Sans"/>
        <family val="2"/>
      </rPr>
      <t xml:space="preserve">의 </t>
    </r>
    <r>
      <rPr>
        <sz val="9"/>
        <rFont val="맑은 고딕"/>
        <family val="0"/>
        <charset val="1"/>
      </rPr>
      <t xml:space="preserve">BOM/</t>
    </r>
    <r>
      <rPr>
        <sz val="9"/>
        <rFont val="DejaVu Sans"/>
        <family val="2"/>
      </rPr>
      <t xml:space="preserve">제품 구성 데이터를 </t>
    </r>
    <r>
      <rPr>
        <sz val="9"/>
        <rFont val="맑은 고딕"/>
        <family val="0"/>
        <charset val="1"/>
      </rPr>
      <t xml:space="preserve">REST API</t>
    </r>
    <r>
      <rPr>
        <sz val="9"/>
        <rFont val="DejaVu Sans"/>
        <family val="2"/>
      </rPr>
      <t xml:space="preserve">로 조회하는 인터페이스</t>
    </r>
  </si>
  <si>
    <r>
      <rPr>
        <sz val="9"/>
        <rFont val="맑은 고딕"/>
        <family val="0"/>
        <charset val="1"/>
      </rPr>
      <t xml:space="preserve">API (</t>
    </r>
    <r>
      <rPr>
        <sz val="9"/>
        <rFont val="DejaVu Sans"/>
        <family val="2"/>
      </rPr>
      <t xml:space="preserve">화면 없음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</si>
  <si>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DejaVu Sans"/>
        <family val="2"/>
      </rPr>
      <t xml:space="preserve">개발계획서 </t>
    </r>
    <r>
      <rPr>
        <sz val="9"/>
        <rFont val="맑은 고딕"/>
        <family val="0"/>
        <charset val="1"/>
      </rPr>
      <t xml:space="preserve">§3.2①, §4.2</t>
    </r>
  </si>
  <si>
    <t xml:space="preserve">FR-PM-014</t>
  </si>
  <si>
    <t xml:space="preserve">제품관리</t>
  </si>
  <si>
    <t xml:space="preserve">제품 분류 체계 관리</t>
  </si>
  <si>
    <r>
      <rPr>
        <sz val="9"/>
        <rFont val="DejaVu Sans"/>
        <family val="2"/>
      </rPr>
      <t xml:space="preserve">창호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커튼월 제품의 분류 체계</t>
    </r>
    <r>
      <rPr>
        <sz val="9"/>
        <rFont val="맑은 고딕"/>
        <family val="0"/>
        <charset val="1"/>
      </rPr>
      <t xml:space="preserve">(</t>
    </r>
    <r>
      <rPr>
        <sz val="9"/>
        <rFont val="DejaVu Sans"/>
        <family val="2"/>
      </rPr>
      <t xml:space="preserve">대→중→소분류</t>
    </r>
    <r>
      <rPr>
        <sz val="9"/>
        <rFont val="맑은 고딕"/>
        <family val="0"/>
        <charset val="1"/>
      </rPr>
      <t xml:space="preserve">) </t>
    </r>
    <r>
      <rPr>
        <sz val="9"/>
        <rFont val="DejaVu Sans"/>
        <family val="2"/>
      </rPr>
      <t xml:space="preserve">등록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관리</t>
    </r>
  </si>
  <si>
    <r>
      <rPr>
        <sz val="9"/>
        <rFont val="DejaVu Sans"/>
        <family val="2"/>
      </rPr>
      <t xml:space="preserve">제품관리 </t>
    </r>
    <r>
      <rPr>
        <sz val="9"/>
        <rFont val="맑은 고딕"/>
        <family val="0"/>
        <charset val="1"/>
      </rPr>
      <t xml:space="preserve">&gt; </t>
    </r>
    <r>
      <rPr>
        <sz val="9"/>
        <rFont val="DejaVu Sans"/>
        <family val="2"/>
      </rPr>
      <t xml:space="preserve">판매제품 목록</t>
    </r>
  </si>
  <si>
    <t xml:space="preserve">FR-PM-015</t>
  </si>
  <si>
    <t xml:space="preserve">제품 코드 부여 및 관리</t>
  </si>
  <si>
    <t xml:space="preserve">제품 분류 체계에 따른 제품 코드 자동 부여 및 관리</t>
  </si>
  <si>
    <t xml:space="preserve">FR-PM-016</t>
  </si>
  <si>
    <r>
      <rPr>
        <sz val="9"/>
        <rFont val="DejaVu Sans"/>
        <family val="2"/>
      </rPr>
      <t xml:space="preserve">제품 메타 정보 등록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조회</t>
    </r>
  </si>
  <si>
    <r>
      <rPr>
        <sz val="9"/>
        <rFont val="DejaVu Sans"/>
        <family val="2"/>
      </rPr>
      <t xml:space="preserve">제품별 메타 정보</t>
    </r>
    <r>
      <rPr>
        <sz val="9"/>
        <rFont val="맑은 고딕"/>
        <family val="0"/>
        <charset val="1"/>
      </rPr>
      <t xml:space="preserve">(</t>
    </r>
    <r>
      <rPr>
        <sz val="9"/>
        <rFont val="DejaVu Sans"/>
        <family val="2"/>
      </rPr>
      <t xml:space="preserve">규격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이미지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특성 등</t>
    </r>
    <r>
      <rPr>
        <sz val="9"/>
        <rFont val="맑은 고딕"/>
        <family val="0"/>
        <charset val="1"/>
      </rPr>
      <t xml:space="preserve">) </t>
    </r>
    <r>
      <rPr>
        <sz val="9"/>
        <rFont val="DejaVu Sans"/>
        <family val="2"/>
      </rPr>
      <t xml:space="preserve">등록 및 조회</t>
    </r>
  </si>
  <si>
    <r>
      <rPr>
        <b val="true"/>
        <sz val="10"/>
        <color rgb="FF1F4E79"/>
        <rFont val="DejaVu Sans"/>
        <family val="2"/>
      </rPr>
      <t xml:space="preserve">② 견적설계 </t>
    </r>
    <r>
      <rPr>
        <b val="true"/>
        <sz val="10"/>
        <color rgb="FF1F4E79"/>
        <rFont val="맑은 고딕"/>
        <family val="0"/>
        <charset val="1"/>
      </rPr>
      <t xml:space="preserve">(ES)</t>
    </r>
  </si>
  <si>
    <t xml:space="preserve">FR-ES-001</t>
  </si>
  <si>
    <t xml:space="preserve">ES</t>
  </si>
  <si>
    <t xml:space="preserve">도면관리</t>
  </si>
  <si>
    <r>
      <rPr>
        <sz val="9"/>
        <rFont val="맑은 고딕"/>
        <family val="0"/>
        <charset val="1"/>
      </rPr>
      <t xml:space="preserve">CAD </t>
    </r>
    <r>
      <rPr>
        <sz val="9"/>
        <rFont val="DejaVu Sans"/>
        <family val="2"/>
      </rPr>
      <t xml:space="preserve">도면 업로드 및 웹 뷰어 변환</t>
    </r>
  </si>
  <si>
    <r>
      <rPr>
        <sz val="9"/>
        <rFont val="맑은 고딕"/>
        <family val="0"/>
        <charset val="1"/>
      </rPr>
      <t xml:space="preserve">CAD </t>
    </r>
    <r>
      <rPr>
        <sz val="9"/>
        <rFont val="DejaVu Sans"/>
        <family val="2"/>
      </rPr>
      <t xml:space="preserve">파일</t>
    </r>
    <r>
      <rPr>
        <sz val="9"/>
        <rFont val="맑은 고딕"/>
        <family val="0"/>
        <charset val="1"/>
      </rPr>
      <t xml:space="preserve">(.dwg)</t>
    </r>
    <r>
      <rPr>
        <sz val="9"/>
        <rFont val="DejaVu Sans"/>
        <family val="2"/>
      </rPr>
      <t xml:space="preserve">을 업로드하면 웹 뷰어에서 볼 수 있도록 자동 변환</t>
    </r>
  </si>
  <si>
    <r>
      <rPr>
        <sz val="9"/>
        <rFont val="DejaVu Sans"/>
        <family val="2"/>
      </rPr>
      <t xml:space="preserve">도면 뷰어 </t>
    </r>
    <r>
      <rPr>
        <sz val="9"/>
        <rFont val="맑은 고딕"/>
        <family val="0"/>
        <charset val="1"/>
      </rPr>
      <t xml:space="preserve">&gt; </t>
    </r>
    <r>
      <rPr>
        <sz val="9"/>
        <rFont val="DejaVu Sans"/>
        <family val="2"/>
      </rPr>
      <t xml:space="preserve">도면 선택기</t>
    </r>
  </si>
  <si>
    <t xml:space="preserve">P2</t>
  </si>
  <si>
    <r>
      <rPr>
        <sz val="9"/>
        <rFont val="맑은 고딕"/>
        <family val="0"/>
        <charset val="1"/>
      </rPr>
      <t xml:space="preserve">AN11-2, </t>
    </r>
    <r>
      <rPr>
        <sz val="9"/>
        <rFont val="DejaVu Sans"/>
        <family val="2"/>
      </rPr>
      <t xml:space="preserve">개발계획서</t>
    </r>
  </si>
  <si>
    <t xml:space="preserve">FR-ES-002</t>
  </si>
  <si>
    <t xml:space="preserve">도면 내 개소 라벨링 및 관리</t>
  </si>
  <si>
    <t xml:space="preserve">도면에서 창호 설치 개소를 라벨링하고 관리</t>
  </si>
  <si>
    <r>
      <rPr>
        <sz val="9"/>
        <rFont val="DejaVu Sans"/>
        <family val="2"/>
      </rPr>
      <t xml:space="preserve">도면 뷰어 </t>
    </r>
    <r>
      <rPr>
        <sz val="9"/>
        <rFont val="맑은 고딕"/>
        <family val="0"/>
        <charset val="1"/>
      </rPr>
      <t xml:space="preserve">&gt; </t>
    </r>
    <r>
      <rPr>
        <sz val="9"/>
        <rFont val="DejaVu Sans"/>
        <family val="2"/>
      </rPr>
      <t xml:space="preserve">섹션 뷰어</t>
    </r>
  </si>
  <si>
    <t xml:space="preserve">AN11-2</t>
  </si>
  <si>
    <t xml:space="preserve">FR-ES-003</t>
  </si>
  <si>
    <t xml:space="preserve">프로젝트</t>
  </si>
  <si>
    <t xml:space="preserve">설계자 배정 및 진행 현황 관리</t>
  </si>
  <si>
    <t xml:space="preserve">프로젝트별 설계자를 배정하고 견적 진행 현황 추적</t>
  </si>
  <si>
    <r>
      <rPr>
        <sz val="9"/>
        <rFont val="DejaVu Sans"/>
        <family val="2"/>
      </rPr>
      <t xml:space="preserve">프로젝트관리 </t>
    </r>
    <r>
      <rPr>
        <sz val="9"/>
        <rFont val="맑은 고딕"/>
        <family val="0"/>
        <charset val="1"/>
      </rPr>
      <t xml:space="preserve">&gt; </t>
    </r>
    <r>
      <rPr>
        <sz val="9"/>
        <rFont val="DejaVu Sans"/>
        <family val="2"/>
      </rPr>
      <t xml:space="preserve">프로젝트 상세 </t>
    </r>
    <r>
      <rPr>
        <sz val="9"/>
        <rFont val="맑은 고딕"/>
        <family val="0"/>
        <charset val="1"/>
      </rPr>
      <t xml:space="preserve">&gt; </t>
    </r>
    <r>
      <rPr>
        <sz val="9"/>
        <rFont val="DejaVu Sans"/>
        <family val="2"/>
      </rPr>
      <t xml:space="preserve">기본정보</t>
    </r>
  </si>
  <si>
    <t xml:space="preserve">개발계획서</t>
  </si>
  <si>
    <t xml:space="preserve">FR-ES-004</t>
  </si>
  <si>
    <r>
      <rPr>
        <sz val="9"/>
        <rFont val="맑은 고딕"/>
        <family val="0"/>
        <charset val="1"/>
      </rPr>
      <t xml:space="preserve">CAD </t>
    </r>
    <r>
      <rPr>
        <sz val="9"/>
        <rFont val="DejaVu Sans"/>
        <family val="2"/>
      </rPr>
      <t xml:space="preserve">블록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외부참조 자동 인식</t>
    </r>
  </si>
  <si>
    <r>
      <rPr>
        <sz val="9"/>
        <rFont val="맑은 고딕"/>
        <family val="0"/>
        <charset val="1"/>
      </rPr>
      <t xml:space="preserve">CAD </t>
    </r>
    <r>
      <rPr>
        <sz val="9"/>
        <rFont val="DejaVu Sans"/>
        <family val="2"/>
      </rPr>
      <t xml:space="preserve">도면 내 블록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외부참조를 자동으로 인식하여 개소 정보 추출</t>
    </r>
  </si>
  <si>
    <r>
      <rPr>
        <sz val="9"/>
        <rFont val="DejaVu Sans"/>
        <family val="2"/>
      </rPr>
      <t xml:space="preserve">도면 뷰어 </t>
    </r>
    <r>
      <rPr>
        <sz val="9"/>
        <rFont val="맑은 고딕"/>
        <family val="0"/>
        <charset val="1"/>
      </rPr>
      <t xml:space="preserve">&gt; </t>
    </r>
    <r>
      <rPr>
        <sz val="9"/>
        <rFont val="DejaVu Sans"/>
        <family val="2"/>
      </rPr>
      <t xml:space="preserve">도면세트 선택기</t>
    </r>
  </si>
  <si>
    <r>
      <rPr>
        <sz val="9"/>
        <rFont val="맑은 고딕"/>
        <family val="0"/>
        <charset val="1"/>
      </rPr>
      <t xml:space="preserve">AN11-2 </t>
    </r>
    <r>
      <rPr>
        <sz val="9"/>
        <rFont val="DejaVu Sans"/>
        <family val="2"/>
      </rPr>
      <t xml:space="preserve">핵심</t>
    </r>
    <r>
      <rPr>
        <sz val="9"/>
        <rFont val="맑은 고딕"/>
        <family val="0"/>
        <charset val="1"/>
      </rPr>
      <t xml:space="preserve">#2(4</t>
    </r>
    <r>
      <rPr>
        <sz val="9"/>
        <rFont val="DejaVu Sans"/>
        <family val="2"/>
      </rPr>
      <t xml:space="preserve">명</t>
    </r>
    <r>
      <rPr>
        <sz val="9"/>
        <rFont val="맑은 고딕"/>
        <family val="0"/>
        <charset val="1"/>
      </rPr>
      <t xml:space="preserve">)</t>
    </r>
  </si>
  <si>
    <t xml:space="preserve">FR-ES-005</t>
  </si>
  <si>
    <t xml:space="preserve">견적설계</t>
  </si>
  <si>
    <t xml:space="preserve">도면 기반 개소별 제품 매핑</t>
  </si>
  <si>
    <t xml:space="preserve">도면 개소에 판매 제품을 매핑하여 견적 산출 준비</t>
  </si>
  <si>
    <r>
      <rPr>
        <sz val="9"/>
        <rFont val="DejaVu Sans"/>
        <family val="2"/>
      </rPr>
      <t xml:space="preserve">견적설계 </t>
    </r>
    <r>
      <rPr>
        <sz val="9"/>
        <rFont val="맑은 고딕"/>
        <family val="0"/>
        <charset val="1"/>
      </rPr>
      <t xml:space="preserve">&gt; </t>
    </r>
    <r>
      <rPr>
        <sz val="9"/>
        <rFont val="DejaVu Sans"/>
        <family val="2"/>
      </rPr>
      <t xml:space="preserve">설정 탭</t>
    </r>
  </si>
  <si>
    <t xml:space="preserve">FR-ES-006</t>
  </si>
  <si>
    <t xml:space="preserve">개소별 치수 입력</t>
  </si>
  <si>
    <r>
      <rPr>
        <sz val="9"/>
        <rFont val="DejaVu Sans"/>
        <family val="2"/>
      </rPr>
      <t xml:space="preserve">각 개소별 폭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높이 등 치수를 입력하고 관리</t>
    </r>
  </si>
  <si>
    <r>
      <rPr>
        <sz val="9"/>
        <rFont val="DejaVu Sans"/>
        <family val="2"/>
      </rPr>
      <t xml:space="preserve">견적설계 </t>
    </r>
    <r>
      <rPr>
        <sz val="9"/>
        <rFont val="맑은 고딕"/>
        <family val="0"/>
        <charset val="1"/>
      </rPr>
      <t xml:space="preserve">&gt; </t>
    </r>
    <r>
      <rPr>
        <sz val="9"/>
        <rFont val="DejaVu Sans"/>
        <family val="2"/>
      </rPr>
      <t xml:space="preserve">계산 탭</t>
    </r>
  </si>
  <si>
    <t xml:space="preserve">FR-ES-007</t>
  </si>
  <si>
    <r>
      <rPr>
        <sz val="9"/>
        <rFont val="DejaVu Sans"/>
        <family val="2"/>
      </rPr>
      <t xml:space="preserve">제품</t>
    </r>
    <r>
      <rPr>
        <sz val="9"/>
        <rFont val="맑은 고딕"/>
        <family val="0"/>
        <charset val="1"/>
      </rPr>
      <t xml:space="preserve">-BOM </t>
    </r>
    <r>
      <rPr>
        <sz val="9"/>
        <rFont val="DejaVu Sans"/>
        <family val="2"/>
      </rPr>
      <t xml:space="preserve">연동 자재 구성 자동 반영</t>
    </r>
  </si>
  <si>
    <r>
      <rPr>
        <sz val="9"/>
        <rFont val="DejaVu Sans"/>
        <family val="2"/>
      </rPr>
      <t xml:space="preserve">제품에 연결된 </t>
    </r>
    <r>
      <rPr>
        <sz val="9"/>
        <rFont val="맑은 고딕"/>
        <family val="0"/>
        <charset val="1"/>
      </rPr>
      <t xml:space="preserve">BOM </t>
    </r>
    <r>
      <rPr>
        <sz val="9"/>
        <rFont val="DejaVu Sans"/>
        <family val="2"/>
      </rPr>
      <t xml:space="preserve">구조를 기반으로 개소별 자재 구성 자동 반영</t>
    </r>
  </si>
  <si>
    <r>
      <rPr>
        <sz val="9"/>
        <rFont val="DejaVu Sans"/>
        <family val="2"/>
      </rPr>
      <t xml:space="preserve">개발계획서 </t>
    </r>
    <r>
      <rPr>
        <sz val="9"/>
        <rFont val="맑은 고딕"/>
        <family val="0"/>
        <charset val="1"/>
      </rPr>
      <t xml:space="preserve">§3.2②</t>
    </r>
  </si>
  <si>
    <t xml:space="preserve">FR-ES-008</t>
  </si>
  <si>
    <t xml:space="preserve">롤방충망 자동산출</t>
  </si>
  <si>
    <r>
      <rPr>
        <sz val="9"/>
        <rFont val="DejaVu Sans"/>
        <family val="2"/>
      </rPr>
      <t xml:space="preserve">롤방충망 제품의 규격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수량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단가를 자동으로 산출</t>
    </r>
  </si>
  <si>
    <r>
      <rPr>
        <sz val="9"/>
        <rFont val="맑은 고딕"/>
        <family val="0"/>
        <charset val="1"/>
      </rPr>
      <t xml:space="preserve">AN11-2 </t>
    </r>
    <r>
      <rPr>
        <sz val="9"/>
        <rFont val="DejaVu Sans"/>
        <family val="2"/>
      </rPr>
      <t xml:space="preserve">핵심</t>
    </r>
    <r>
      <rPr>
        <sz val="9"/>
        <rFont val="맑은 고딕"/>
        <family val="0"/>
        <charset val="1"/>
      </rPr>
      <t xml:space="preserve">#1(6</t>
    </r>
    <r>
      <rPr>
        <sz val="9"/>
        <rFont val="DejaVu Sans"/>
        <family val="2"/>
      </rPr>
      <t xml:space="preserve">명 전원</t>
    </r>
    <r>
      <rPr>
        <sz val="9"/>
        <rFont val="맑은 고딕"/>
        <family val="0"/>
        <charset val="1"/>
      </rPr>
      <t xml:space="preserve">)</t>
    </r>
  </si>
  <si>
    <t xml:space="preserve">FR-ES-009</t>
  </si>
  <si>
    <t xml:space="preserve">미서기 보강 자동화</t>
  </si>
  <si>
    <t xml:space="preserve">미서기 창호의 보강재 적용을 규칙 기반으로 자동화</t>
  </si>
  <si>
    <r>
      <rPr>
        <sz val="9"/>
        <rFont val="맑은 고딕"/>
        <family val="0"/>
        <charset val="1"/>
      </rPr>
      <t xml:space="preserve">AN11-2 </t>
    </r>
    <r>
      <rPr>
        <sz val="9"/>
        <rFont val="DejaVu Sans"/>
        <family val="2"/>
      </rPr>
      <t xml:space="preserve">핵심</t>
    </r>
    <r>
      <rPr>
        <sz val="9"/>
        <rFont val="맑은 고딕"/>
        <family val="0"/>
        <charset val="1"/>
      </rPr>
      <t xml:space="preserve">#4(3</t>
    </r>
    <r>
      <rPr>
        <sz val="9"/>
        <rFont val="DejaVu Sans"/>
        <family val="2"/>
      </rPr>
      <t xml:space="preserve">명</t>
    </r>
    <r>
      <rPr>
        <sz val="9"/>
        <rFont val="맑은 고딕"/>
        <family val="0"/>
        <charset val="1"/>
      </rPr>
      <t xml:space="preserve">)</t>
    </r>
  </si>
  <si>
    <t xml:space="preserve">FR-ES-010</t>
  </si>
  <si>
    <t xml:space="preserve">구조검토 자동화</t>
  </si>
  <si>
    <t xml:space="preserve">풍하중 등 구조검토를 자동으로 수행하여 보강재 적정성 검증</t>
  </si>
  <si>
    <r>
      <rPr>
        <sz val="9"/>
        <rFont val="맑은 고딕"/>
        <family val="0"/>
        <charset val="1"/>
      </rPr>
      <t xml:space="preserve">AN11-2 </t>
    </r>
    <r>
      <rPr>
        <sz val="9"/>
        <rFont val="DejaVu Sans"/>
        <family val="2"/>
      </rPr>
      <t xml:space="preserve">핵심</t>
    </r>
    <r>
      <rPr>
        <sz val="9"/>
        <rFont val="맑은 고딕"/>
        <family val="0"/>
        <charset val="1"/>
      </rPr>
      <t xml:space="preserve">#6(2</t>
    </r>
    <r>
      <rPr>
        <sz val="9"/>
        <rFont val="DejaVu Sans"/>
        <family val="2"/>
      </rPr>
      <t xml:space="preserve">명</t>
    </r>
    <r>
      <rPr>
        <sz val="9"/>
        <rFont val="맑은 고딕"/>
        <family val="0"/>
        <charset val="1"/>
      </rPr>
      <t xml:space="preserve">)</t>
    </r>
  </si>
  <si>
    <t xml:space="preserve">FR-ES-011</t>
  </si>
  <si>
    <r>
      <rPr>
        <sz val="9"/>
        <rFont val="DejaVu Sans"/>
        <family val="2"/>
      </rPr>
      <t xml:space="preserve">창호부호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수량 자동입력</t>
    </r>
  </si>
  <si>
    <t xml:space="preserve">도면에서 인식된 창호 부호와 수량을 자동으로 입력</t>
  </si>
  <si>
    <r>
      <rPr>
        <sz val="9"/>
        <rFont val="맑은 고딕"/>
        <family val="0"/>
        <charset val="1"/>
      </rPr>
      <t xml:space="preserve">AN11-2 </t>
    </r>
    <r>
      <rPr>
        <sz val="9"/>
        <rFont val="DejaVu Sans"/>
        <family val="2"/>
      </rPr>
      <t xml:space="preserve">핵심</t>
    </r>
    <r>
      <rPr>
        <sz val="9"/>
        <rFont val="맑은 고딕"/>
        <family val="0"/>
        <charset val="1"/>
      </rPr>
      <t xml:space="preserve">#7(2</t>
    </r>
    <r>
      <rPr>
        <sz val="9"/>
        <rFont val="DejaVu Sans"/>
        <family val="2"/>
      </rPr>
      <t xml:space="preserve">명</t>
    </r>
    <r>
      <rPr>
        <sz val="9"/>
        <rFont val="맑은 고딕"/>
        <family val="0"/>
        <charset val="1"/>
      </rPr>
      <t xml:space="preserve">)</t>
    </r>
  </si>
  <si>
    <t xml:space="preserve">FR-ES-012</t>
  </si>
  <si>
    <r>
      <rPr>
        <sz val="9"/>
        <rFont val="DejaVu Sans"/>
        <family val="2"/>
      </rPr>
      <t xml:space="preserve">교실출입문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갤러리도어 설계</t>
    </r>
  </si>
  <si>
    <r>
      <rPr>
        <sz val="9"/>
        <rFont val="DejaVu Sans"/>
        <family val="2"/>
      </rPr>
      <t xml:space="preserve">교실출입문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갤러리도어 등 특수 제품의 견적 설계 지원</t>
    </r>
  </si>
  <si>
    <r>
      <rPr>
        <sz val="9"/>
        <rFont val="맑은 고딕"/>
        <family val="0"/>
        <charset val="1"/>
      </rPr>
      <t xml:space="preserve">AN11-2 </t>
    </r>
    <r>
      <rPr>
        <sz val="9"/>
        <rFont val="DejaVu Sans"/>
        <family val="2"/>
      </rPr>
      <t xml:space="preserve">핵심</t>
    </r>
    <r>
      <rPr>
        <sz val="9"/>
        <rFont val="맑은 고딕"/>
        <family val="0"/>
        <charset val="1"/>
      </rPr>
      <t xml:space="preserve">#8(2</t>
    </r>
    <r>
      <rPr>
        <sz val="9"/>
        <rFont val="DejaVu Sans"/>
        <family val="2"/>
      </rPr>
      <t xml:space="preserve">명</t>
    </r>
    <r>
      <rPr>
        <sz val="9"/>
        <rFont val="맑은 고딕"/>
        <family val="0"/>
        <charset val="1"/>
      </rPr>
      <t xml:space="preserve">)</t>
    </r>
  </si>
  <si>
    <t xml:space="preserve">FR-ES-013</t>
  </si>
  <si>
    <t xml:space="preserve">트랜섬절단 자동계산</t>
  </si>
  <si>
    <r>
      <rPr>
        <sz val="9"/>
        <rFont val="DejaVu Sans"/>
        <family val="2"/>
      </rPr>
      <t xml:space="preserve">트랜섬</t>
    </r>
    <r>
      <rPr>
        <sz val="9"/>
        <rFont val="맑은 고딕"/>
        <family val="0"/>
        <charset val="1"/>
      </rPr>
      <t xml:space="preserve">(</t>
    </r>
    <r>
      <rPr>
        <sz val="9"/>
        <rFont val="DejaVu Sans"/>
        <family val="2"/>
      </rPr>
      <t xml:space="preserve">가로대</t>
    </r>
    <r>
      <rPr>
        <sz val="9"/>
        <rFont val="맑은 고딕"/>
        <family val="0"/>
        <charset val="1"/>
      </rPr>
      <t xml:space="preserve">) </t>
    </r>
    <r>
      <rPr>
        <sz val="9"/>
        <rFont val="DejaVu Sans"/>
        <family val="2"/>
      </rPr>
      <t xml:space="preserve">절단 치수를 자동으로 계산</t>
    </r>
  </si>
  <si>
    <r>
      <rPr>
        <sz val="9"/>
        <rFont val="맑은 고딕"/>
        <family val="0"/>
        <charset val="1"/>
      </rPr>
      <t xml:space="preserve">AN11-2 </t>
    </r>
    <r>
      <rPr>
        <sz val="9"/>
        <rFont val="DejaVu Sans"/>
        <family val="2"/>
      </rPr>
      <t xml:space="preserve">핵심</t>
    </r>
    <r>
      <rPr>
        <sz val="9"/>
        <rFont val="맑은 고딕"/>
        <family val="0"/>
        <charset val="1"/>
      </rPr>
      <t xml:space="preserve">#10(2</t>
    </r>
    <r>
      <rPr>
        <sz val="9"/>
        <rFont val="DejaVu Sans"/>
        <family val="2"/>
      </rPr>
      <t xml:space="preserve">명</t>
    </r>
    <r>
      <rPr>
        <sz val="9"/>
        <rFont val="맑은 고딕"/>
        <family val="0"/>
        <charset val="1"/>
      </rPr>
      <t xml:space="preserve">)</t>
    </r>
  </si>
  <si>
    <t xml:space="preserve">FR-ES-014</t>
  </si>
  <si>
    <t xml:space="preserve">복수개체 일괄변경</t>
  </si>
  <si>
    <t xml:space="preserve">동일 조건의 여러 개소를 선택하여 속성 일괄 변경</t>
  </si>
  <si>
    <r>
      <rPr>
        <sz val="9"/>
        <rFont val="DejaVu Sans"/>
        <family val="2"/>
      </rPr>
      <t xml:space="preserve">견적설계 </t>
    </r>
    <r>
      <rPr>
        <sz val="9"/>
        <rFont val="맑은 고딕"/>
        <family val="0"/>
        <charset val="1"/>
      </rPr>
      <t xml:space="preserve">&gt; </t>
    </r>
    <r>
      <rPr>
        <sz val="9"/>
        <rFont val="DejaVu Sans"/>
        <family val="2"/>
      </rPr>
      <t xml:space="preserve">설정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계산 탭</t>
    </r>
  </si>
  <si>
    <r>
      <rPr>
        <sz val="9"/>
        <rFont val="맑은 고딕"/>
        <family val="0"/>
        <charset val="1"/>
      </rPr>
      <t xml:space="preserve">AN11-2 </t>
    </r>
    <r>
      <rPr>
        <sz val="9"/>
        <rFont val="DejaVu Sans"/>
        <family val="2"/>
      </rPr>
      <t xml:space="preserve">핵심</t>
    </r>
    <r>
      <rPr>
        <sz val="9"/>
        <rFont val="맑은 고딕"/>
        <family val="0"/>
        <charset val="1"/>
      </rPr>
      <t xml:space="preserve">#12(2</t>
    </r>
    <r>
      <rPr>
        <sz val="9"/>
        <rFont val="DejaVu Sans"/>
        <family val="2"/>
      </rPr>
      <t xml:space="preserve">명</t>
    </r>
    <r>
      <rPr>
        <sz val="9"/>
        <rFont val="맑은 고딕"/>
        <family val="0"/>
        <charset val="1"/>
      </rPr>
      <t xml:space="preserve">)</t>
    </r>
  </si>
  <si>
    <t xml:space="preserve">FR-ES-015</t>
  </si>
  <si>
    <t xml:space="preserve">견적서 수정 편의성 개선</t>
  </si>
  <si>
    <t xml:space="preserve">견적서 작성 후 수정 시 변경된 항목만 효율적으로 수정 가능</t>
  </si>
  <si>
    <r>
      <rPr>
        <sz val="9"/>
        <rFont val="DejaVu Sans"/>
        <family val="2"/>
      </rPr>
      <t xml:space="preserve">견적설계 </t>
    </r>
    <r>
      <rPr>
        <sz val="9"/>
        <rFont val="맑은 고딕"/>
        <family val="0"/>
        <charset val="1"/>
      </rPr>
      <t xml:space="preserve">&gt; </t>
    </r>
    <r>
      <rPr>
        <sz val="9"/>
        <rFont val="DejaVu Sans"/>
        <family val="2"/>
      </rPr>
      <t xml:space="preserve">견적서 탭</t>
    </r>
  </si>
  <si>
    <r>
      <rPr>
        <sz val="9"/>
        <rFont val="맑은 고딕"/>
        <family val="0"/>
        <charset val="1"/>
      </rPr>
      <t xml:space="preserve">AN11-2 </t>
    </r>
    <r>
      <rPr>
        <sz val="9"/>
        <rFont val="DejaVu Sans"/>
        <family val="2"/>
      </rPr>
      <t xml:space="preserve">핵심</t>
    </r>
    <r>
      <rPr>
        <sz val="9"/>
        <rFont val="맑은 고딕"/>
        <family val="0"/>
        <charset val="1"/>
      </rPr>
      <t xml:space="preserve">#11(2</t>
    </r>
    <r>
      <rPr>
        <sz val="9"/>
        <rFont val="DejaVu Sans"/>
        <family val="2"/>
      </rPr>
      <t xml:space="preserve">명</t>
    </r>
    <r>
      <rPr>
        <sz val="9"/>
        <rFont val="맑은 고딕"/>
        <family val="0"/>
        <charset val="1"/>
      </rPr>
      <t xml:space="preserve">)</t>
    </r>
  </si>
  <si>
    <t xml:space="preserve">FR-ES-016</t>
  </si>
  <si>
    <t xml:space="preserve">견적서</t>
  </si>
  <si>
    <r>
      <rPr>
        <sz val="9"/>
        <rFont val="DejaVu Sans"/>
        <family val="2"/>
      </rPr>
      <t xml:space="preserve">자재비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시공비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기타비용 합산 및 견적서 산출</t>
    </r>
  </si>
  <si>
    <r>
      <rPr>
        <sz val="9"/>
        <rFont val="맑은 고딕"/>
        <family val="0"/>
        <charset val="1"/>
      </rPr>
      <t xml:space="preserve">BOM </t>
    </r>
    <r>
      <rPr>
        <sz val="9"/>
        <rFont val="DejaVu Sans"/>
        <family val="2"/>
      </rPr>
      <t xml:space="preserve">기반 자재비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시공비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기타비용을 합산하여 견적서 자동 산출</t>
    </r>
  </si>
  <si>
    <r>
      <rPr>
        <sz val="9"/>
        <rFont val="DejaVu Sans"/>
        <family val="2"/>
      </rPr>
      <t xml:space="preserve">견적설계 </t>
    </r>
    <r>
      <rPr>
        <sz val="9"/>
        <rFont val="맑은 고딕"/>
        <family val="0"/>
        <charset val="1"/>
      </rPr>
      <t xml:space="preserve">&gt; </t>
    </r>
    <r>
      <rPr>
        <sz val="9"/>
        <rFont val="DejaVu Sans"/>
        <family val="2"/>
      </rPr>
      <t xml:space="preserve">견적서 탭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상세</t>
    </r>
  </si>
  <si>
    <t xml:space="preserve">FR-ES-017</t>
  </si>
  <si>
    <t xml:space="preserve">실행율 계산 정확도 향상</t>
  </si>
  <si>
    <r>
      <rPr>
        <sz val="9"/>
        <rFont val="DejaVu Sans"/>
        <family val="2"/>
      </rPr>
      <t xml:space="preserve">견적 대비 실행율</t>
    </r>
    <r>
      <rPr>
        <sz val="9"/>
        <rFont val="맑은 고딕"/>
        <family val="0"/>
        <charset val="1"/>
      </rPr>
      <t xml:space="preserve">(</t>
    </r>
    <r>
      <rPr>
        <sz val="9"/>
        <rFont val="DejaVu Sans"/>
        <family val="2"/>
      </rPr>
      <t xml:space="preserve">원가율</t>
    </r>
    <r>
      <rPr>
        <sz val="9"/>
        <rFont val="맑은 고딕"/>
        <family val="0"/>
        <charset val="1"/>
      </rPr>
      <t xml:space="preserve">) </t>
    </r>
    <r>
      <rPr>
        <sz val="9"/>
        <rFont val="DejaVu Sans"/>
        <family val="2"/>
      </rPr>
      <t xml:space="preserve">계산의 정확도를 개선</t>
    </r>
  </si>
  <si>
    <r>
      <rPr>
        <sz val="9"/>
        <rFont val="DejaVu Sans"/>
        <family val="2"/>
      </rPr>
      <t xml:space="preserve">견적설계 </t>
    </r>
    <r>
      <rPr>
        <sz val="9"/>
        <rFont val="맑은 고딕"/>
        <family val="0"/>
        <charset val="1"/>
      </rPr>
      <t xml:space="preserve">&gt; </t>
    </r>
    <r>
      <rPr>
        <sz val="9"/>
        <rFont val="DejaVu Sans"/>
        <family val="2"/>
      </rPr>
      <t xml:space="preserve">예산 탭</t>
    </r>
  </si>
  <si>
    <r>
      <rPr>
        <sz val="9"/>
        <rFont val="맑은 고딕"/>
        <family val="0"/>
        <charset val="1"/>
      </rPr>
      <t xml:space="preserve">AN11-2 </t>
    </r>
    <r>
      <rPr>
        <sz val="9"/>
        <rFont val="DejaVu Sans"/>
        <family val="2"/>
      </rPr>
      <t xml:space="preserve">핵심</t>
    </r>
    <r>
      <rPr>
        <sz val="9"/>
        <rFont val="맑은 고딕"/>
        <family val="0"/>
        <charset val="1"/>
      </rPr>
      <t xml:space="preserve">#5(3</t>
    </r>
    <r>
      <rPr>
        <sz val="9"/>
        <rFont val="DejaVu Sans"/>
        <family val="2"/>
      </rPr>
      <t xml:space="preserve">명</t>
    </r>
    <r>
      <rPr>
        <sz val="9"/>
        <rFont val="맑은 고딕"/>
        <family val="0"/>
        <charset val="1"/>
      </rPr>
      <t xml:space="preserve">)</t>
    </r>
  </si>
  <si>
    <t xml:space="preserve">FR-ES-018</t>
  </si>
  <si>
    <t xml:space="preserve">실행예산</t>
  </si>
  <si>
    <r>
      <rPr>
        <sz val="9"/>
        <rFont val="DejaVu Sans"/>
        <family val="2"/>
      </rPr>
      <t xml:space="preserve">실행예산 산출 </t>
    </r>
    <r>
      <rPr>
        <sz val="9"/>
        <rFont val="맑은 고딕"/>
        <family val="0"/>
        <charset val="1"/>
      </rPr>
      <t xml:space="preserve">(</t>
    </r>
    <r>
      <rPr>
        <sz val="9"/>
        <rFont val="DejaVu Sans"/>
        <family val="2"/>
      </rPr>
      <t xml:space="preserve">별도비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제작비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시공비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수수료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</si>
  <si>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DejaVu Sans"/>
        <family val="2"/>
      </rPr>
      <t xml:space="preserve">별도비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제작비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시공비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수수료 등 항목별 실행예산 산출</t>
    </r>
  </si>
  <si>
    <r>
      <rPr>
        <sz val="9"/>
        <rFont val="DejaVu Sans"/>
        <family val="2"/>
      </rPr>
      <t xml:space="preserve">실행예산 </t>
    </r>
    <r>
      <rPr>
        <sz val="9"/>
        <rFont val="맑은 고딕"/>
        <family val="0"/>
        <charset val="1"/>
      </rPr>
      <t xml:space="preserve">&gt; </t>
    </r>
    <r>
      <rPr>
        <sz val="9"/>
        <rFont val="DejaVu Sans"/>
        <family val="2"/>
      </rPr>
      <t xml:space="preserve">각 시트</t>
    </r>
    <r>
      <rPr>
        <sz val="9"/>
        <rFont val="맑은 고딕"/>
        <family val="0"/>
        <charset val="1"/>
      </rPr>
      <t xml:space="preserve">(</t>
    </r>
    <r>
      <rPr>
        <sz val="9"/>
        <rFont val="DejaVu Sans"/>
        <family val="2"/>
      </rPr>
      <t xml:space="preserve">별도비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제작비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시공비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수수료</t>
    </r>
    <r>
      <rPr>
        <sz val="9"/>
        <rFont val="맑은 고딕"/>
        <family val="0"/>
        <charset val="1"/>
      </rPr>
      <t xml:space="preserve">)</t>
    </r>
  </si>
  <si>
    <t xml:space="preserve">FR-ES-019</t>
  </si>
  <si>
    <r>
      <rPr>
        <sz val="9"/>
        <rFont val="DejaVu Sans"/>
        <family val="2"/>
      </rPr>
      <t xml:space="preserve">견적서 출력 </t>
    </r>
    <r>
      <rPr>
        <sz val="9"/>
        <rFont val="맑은 고딕"/>
        <family val="0"/>
        <charset val="1"/>
      </rPr>
      <t xml:space="preserve">(</t>
    </r>
    <r>
      <rPr>
        <sz val="9"/>
        <rFont val="DejaVu Sans"/>
        <family val="2"/>
      </rPr>
      <t xml:space="preserve">발주처 제출용</t>
    </r>
    <r>
      <rPr>
        <sz val="9"/>
        <rFont val="맑은 고딕"/>
        <family val="0"/>
        <charset val="1"/>
      </rPr>
      <t xml:space="preserve">)</t>
    </r>
  </si>
  <si>
    <t xml:space="preserve">발주처에 제출하기 위한 견적서 및 견적내역서 출력 기능</t>
  </si>
  <si>
    <r>
      <rPr>
        <sz val="9"/>
        <rFont val="DejaVu Sans"/>
        <family val="2"/>
      </rPr>
      <t xml:space="preserve">문서 출력 </t>
    </r>
    <r>
      <rPr>
        <sz val="9"/>
        <rFont val="맑은 고딕"/>
        <family val="0"/>
        <charset val="1"/>
      </rPr>
      <t xml:space="preserve">&gt; </t>
    </r>
    <r>
      <rPr>
        <sz val="9"/>
        <rFont val="DejaVu Sans"/>
        <family val="2"/>
      </rPr>
      <t xml:space="preserve">식별번호표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환산표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중량표</t>
    </r>
  </si>
  <si>
    <t xml:space="preserve">FR-ES-020</t>
  </si>
  <si>
    <r>
      <rPr>
        <sz val="9"/>
        <rFont val="DejaVu Sans"/>
        <family val="2"/>
      </rPr>
      <t xml:space="preserve">실행 예산</t>
    </r>
    <r>
      <rPr>
        <sz val="9"/>
        <rFont val="맑은 고딕"/>
        <family val="0"/>
        <charset val="1"/>
      </rPr>
      <t xml:space="preserve">(1</t>
    </r>
    <r>
      <rPr>
        <sz val="9"/>
        <rFont val="DejaVu Sans"/>
        <family val="2"/>
      </rPr>
      <t xml:space="preserve">차</t>
    </r>
    <r>
      <rPr>
        <sz val="9"/>
        <rFont val="맑은 고딕"/>
        <family val="0"/>
        <charset val="1"/>
      </rPr>
      <t xml:space="preserve">) </t>
    </r>
    <r>
      <rPr>
        <sz val="9"/>
        <rFont val="DejaVu Sans"/>
        <family val="2"/>
      </rPr>
      <t xml:space="preserve">산출 및 원가율 분석</t>
    </r>
  </si>
  <si>
    <r>
      <rPr>
        <sz val="9"/>
        <rFont val="DejaVu Sans"/>
        <family val="2"/>
      </rPr>
      <t xml:space="preserve">설계 결과 기반 </t>
    </r>
    <r>
      <rPr>
        <sz val="9"/>
        <rFont val="맑은 고딕"/>
        <family val="0"/>
        <charset val="1"/>
      </rPr>
      <t xml:space="preserve">1</t>
    </r>
    <r>
      <rPr>
        <sz val="9"/>
        <rFont val="DejaVu Sans"/>
        <family val="2"/>
      </rPr>
      <t xml:space="preserve">차 실행예산을 산출하고 원가율 분석</t>
    </r>
  </si>
  <si>
    <r>
      <rPr>
        <sz val="9"/>
        <rFont val="DejaVu Sans"/>
        <family val="2"/>
      </rPr>
      <t xml:space="preserve">실행예산 </t>
    </r>
    <r>
      <rPr>
        <sz val="9"/>
        <rFont val="맑은 고딕"/>
        <family val="0"/>
        <charset val="1"/>
      </rPr>
      <t xml:space="preserve">&gt; </t>
    </r>
    <r>
      <rPr>
        <sz val="9"/>
        <rFont val="DejaVu Sans"/>
        <family val="2"/>
      </rPr>
      <t xml:space="preserve">각 시트</t>
    </r>
  </si>
  <si>
    <t xml:space="preserve">FR-ES-021</t>
  </si>
  <si>
    <t xml:space="preserve">식별번호 매칭 부호 중량 합산 오류 수정</t>
  </si>
  <si>
    <t xml:space="preserve">현행 시스템의 식별번호 매칭 및 중량 합산 오류 수정</t>
  </si>
  <si>
    <r>
      <rPr>
        <sz val="9"/>
        <rFont val="맑은 고딕"/>
        <family val="0"/>
        <charset val="1"/>
      </rPr>
      <t xml:space="preserve">AN11-2 </t>
    </r>
    <r>
      <rPr>
        <sz val="9"/>
        <rFont val="DejaVu Sans"/>
        <family val="2"/>
      </rPr>
      <t xml:space="preserve">핵심</t>
    </r>
    <r>
      <rPr>
        <sz val="9"/>
        <rFont val="맑은 고딕"/>
        <family val="0"/>
        <charset val="1"/>
      </rPr>
      <t xml:space="preserve">#13</t>
    </r>
  </si>
  <si>
    <r>
      <rPr>
        <b val="true"/>
        <sz val="10"/>
        <color rgb="FF1F4E79"/>
        <rFont val="DejaVu Sans"/>
        <family val="2"/>
      </rPr>
      <t xml:space="preserve">③ 발주관리 </t>
    </r>
    <r>
      <rPr>
        <b val="true"/>
        <sz val="10"/>
        <color rgb="FF1F4E79"/>
        <rFont val="맑은 고딕"/>
        <family val="0"/>
        <charset val="1"/>
      </rPr>
      <t xml:space="preserve">(OM)</t>
    </r>
  </si>
  <si>
    <t xml:space="preserve">FR-OM-001</t>
  </si>
  <si>
    <t xml:space="preserve">OM</t>
  </si>
  <si>
    <t xml:space="preserve">계약관리</t>
  </si>
  <si>
    <t xml:space="preserve">견적 기반 계약 처리 및 계약 정보 등록</t>
  </si>
  <si>
    <t xml:space="preserve">견적 확정 후 계약 정보를 등록하고 관리</t>
  </si>
  <si>
    <r>
      <rPr>
        <sz val="9"/>
        <rFont val="DejaVu Sans"/>
        <family val="2"/>
      </rPr>
      <t xml:space="preserve">계약관리 </t>
    </r>
    <r>
      <rPr>
        <sz val="9"/>
        <rFont val="맑은 고딕"/>
        <family val="0"/>
        <charset val="1"/>
      </rPr>
      <t xml:space="preserve">&gt; </t>
    </r>
    <r>
      <rPr>
        <sz val="9"/>
        <rFont val="DejaVu Sans"/>
        <family val="2"/>
      </rPr>
      <t xml:space="preserve">계약현황 목록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상세</t>
    </r>
  </si>
  <si>
    <r>
      <rPr>
        <sz val="9"/>
        <rFont val="DejaVu Sans"/>
        <family val="2"/>
      </rPr>
      <t xml:space="preserve">개발계획서 </t>
    </r>
    <r>
      <rPr>
        <sz val="9"/>
        <rFont val="맑은 고딕"/>
        <family val="0"/>
        <charset val="1"/>
      </rPr>
      <t xml:space="preserve">§3.2③</t>
    </r>
  </si>
  <si>
    <t xml:space="preserve">FR-OM-002</t>
  </si>
  <si>
    <t xml:space="preserve">색상 및 납품 옵션 사양 확정</t>
  </si>
  <si>
    <r>
      <rPr>
        <sz val="9"/>
        <rFont val="DejaVu Sans"/>
        <family val="2"/>
      </rPr>
      <t xml:space="preserve">계약 시 색상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코팅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납품 옵션 등 사양을 확정</t>
    </r>
  </si>
  <si>
    <r>
      <rPr>
        <sz val="9"/>
        <rFont val="DejaVu Sans"/>
        <family val="2"/>
      </rPr>
      <t xml:space="preserve">계약관리 </t>
    </r>
    <r>
      <rPr>
        <sz val="9"/>
        <rFont val="맑은 고딕"/>
        <family val="0"/>
        <charset val="1"/>
      </rPr>
      <t xml:space="preserve">&gt; </t>
    </r>
    <r>
      <rPr>
        <sz val="9"/>
        <rFont val="DejaVu Sans"/>
        <family val="2"/>
      </rPr>
      <t xml:space="preserve">계약 상세</t>
    </r>
  </si>
  <si>
    <t xml:space="preserve">FR-OM-003</t>
  </si>
  <si>
    <t xml:space="preserve">계약 이력 및 상태 관리</t>
  </si>
  <si>
    <r>
      <rPr>
        <sz val="9"/>
        <rFont val="DejaVu Sans"/>
        <family val="2"/>
      </rPr>
      <t xml:space="preserve">계약 진행 이력과 상태</t>
    </r>
    <r>
      <rPr>
        <sz val="9"/>
        <rFont val="맑은 고딕"/>
        <family val="0"/>
        <charset val="1"/>
      </rPr>
      <t xml:space="preserve">(</t>
    </r>
    <r>
      <rPr>
        <sz val="9"/>
        <rFont val="DejaVu Sans"/>
        <family val="2"/>
      </rPr>
      <t xml:space="preserve">대기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진행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완료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취소</t>
    </r>
    <r>
      <rPr>
        <sz val="9"/>
        <rFont val="맑은 고딕"/>
        <family val="0"/>
        <charset val="1"/>
      </rPr>
      <t xml:space="preserve">) </t>
    </r>
    <r>
      <rPr>
        <sz val="9"/>
        <rFont val="DejaVu Sans"/>
        <family val="2"/>
      </rPr>
      <t xml:space="preserve">관리</t>
    </r>
  </si>
  <si>
    <r>
      <rPr>
        <sz val="9"/>
        <rFont val="DejaVu Sans"/>
        <family val="2"/>
      </rPr>
      <t xml:space="preserve">계약관리 </t>
    </r>
    <r>
      <rPr>
        <sz val="9"/>
        <rFont val="맑은 고딕"/>
        <family val="0"/>
        <charset val="1"/>
      </rPr>
      <t xml:space="preserve">&gt; </t>
    </r>
    <r>
      <rPr>
        <sz val="9"/>
        <rFont val="DejaVu Sans"/>
        <family val="2"/>
      </rPr>
      <t xml:space="preserve">대시보드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목록</t>
    </r>
  </si>
  <si>
    <t xml:space="preserve">FR-OM-004</t>
  </si>
  <si>
    <t xml:space="preserve">발주관리</t>
  </si>
  <si>
    <t xml:space="preserve">원자재 정척 기준 최적 절단 조합 자동 계산</t>
  </si>
  <si>
    <r>
      <rPr>
        <sz val="9"/>
        <rFont val="DejaVu Sans"/>
        <family val="2"/>
      </rPr>
      <t xml:space="preserve">원자재 정척 기준으로 </t>
    </r>
    <r>
      <rPr>
        <sz val="9"/>
        <rFont val="맑은 고딕"/>
        <family val="0"/>
        <charset val="1"/>
      </rPr>
      <t xml:space="preserve">loss</t>
    </r>
    <r>
      <rPr>
        <sz val="9"/>
        <rFont val="DejaVu Sans"/>
        <family val="2"/>
      </rPr>
      <t xml:space="preserve">율을 최소화하는 최적 절단 조합 자동 계산</t>
    </r>
  </si>
  <si>
    <r>
      <rPr>
        <sz val="9"/>
        <rFont val="DejaVu Sans"/>
        <family val="2"/>
      </rPr>
      <t xml:space="preserve">발주 설정 </t>
    </r>
    <r>
      <rPr>
        <sz val="9"/>
        <rFont val="맑은 고딕"/>
        <family val="0"/>
        <charset val="1"/>
      </rPr>
      <t xml:space="preserve">&gt; </t>
    </r>
    <r>
      <rPr>
        <sz val="9"/>
        <rFont val="DejaVu Sans"/>
        <family val="2"/>
      </rPr>
      <t xml:space="preserve">절단 계획</t>
    </r>
  </si>
  <si>
    <t xml:space="preserve">FR-OM-005</t>
  </si>
  <si>
    <t xml:space="preserve">각도 절단 공차 적용</t>
  </si>
  <si>
    <t xml:space="preserve">절단 시 각도 공차를 반영한 절단 계획 수립</t>
  </si>
  <si>
    <t xml:space="preserve">FR-OM-006</t>
  </si>
  <si>
    <r>
      <rPr>
        <sz val="9"/>
        <rFont val="DejaVu Sans"/>
        <family val="2"/>
      </rPr>
      <t xml:space="preserve">거래처별 </t>
    </r>
    <r>
      <rPr>
        <sz val="9"/>
        <rFont val="맑은 고딕"/>
        <family val="0"/>
        <charset val="1"/>
      </rPr>
      <t xml:space="preserve">1</t>
    </r>
    <r>
      <rPr>
        <sz val="9"/>
        <rFont val="DejaVu Sans"/>
        <family val="2"/>
      </rPr>
      <t xml:space="preserve">차 발주서 출력</t>
    </r>
  </si>
  <si>
    <r>
      <rPr>
        <sz val="9"/>
        <rFont val="DejaVu Sans"/>
        <family val="2"/>
      </rPr>
      <t xml:space="preserve">거래처별로 필요한 자재를 묶어 </t>
    </r>
    <r>
      <rPr>
        <sz val="9"/>
        <rFont val="맑은 고딕"/>
        <family val="0"/>
        <charset val="1"/>
      </rPr>
      <t xml:space="preserve">1</t>
    </r>
    <r>
      <rPr>
        <sz val="9"/>
        <rFont val="DejaVu Sans"/>
        <family val="2"/>
      </rPr>
      <t xml:space="preserve">차 발주서 자동 생성 및 출력</t>
    </r>
  </si>
  <si>
    <r>
      <rPr>
        <sz val="9"/>
        <rFont val="DejaVu Sans"/>
        <family val="2"/>
      </rPr>
      <t xml:space="preserve">발주서 관리 </t>
    </r>
    <r>
      <rPr>
        <sz val="9"/>
        <rFont val="맑은 고딕"/>
        <family val="0"/>
        <charset val="1"/>
      </rPr>
      <t xml:space="preserve">&gt; </t>
    </r>
    <r>
      <rPr>
        <sz val="9"/>
        <rFont val="DejaVu Sans"/>
        <family val="2"/>
      </rPr>
      <t xml:space="preserve">발주서 목록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상세</t>
    </r>
  </si>
  <si>
    <t xml:space="preserve">FR-OM-007</t>
  </si>
  <si>
    <t xml:space="preserve">발주 승인 워크플로우</t>
  </si>
  <si>
    <t xml:space="preserve">발주서 작성 → 검토 → 승인 워크플로우 관리</t>
  </si>
  <si>
    <r>
      <rPr>
        <sz val="9"/>
        <rFont val="DejaVu Sans"/>
        <family val="2"/>
      </rPr>
      <t xml:space="preserve">발주관리 </t>
    </r>
    <r>
      <rPr>
        <sz val="9"/>
        <rFont val="맑은 고딕"/>
        <family val="0"/>
        <charset val="1"/>
      </rPr>
      <t xml:space="preserve">&gt; </t>
    </r>
    <r>
      <rPr>
        <sz val="9"/>
        <rFont val="DejaVu Sans"/>
        <family val="2"/>
      </rPr>
      <t xml:space="preserve">발주 리스트</t>
    </r>
  </si>
  <si>
    <t xml:space="preserve">FR-OM-008</t>
  </si>
  <si>
    <t xml:space="preserve">널링지시서 출력</t>
  </si>
  <si>
    <t xml:space="preserve">널링 공정을 위한 지시서를 자동 생성하여 출력</t>
  </si>
  <si>
    <r>
      <rPr>
        <sz val="9"/>
        <rFont val="DejaVu Sans"/>
        <family val="2"/>
      </rPr>
      <t xml:space="preserve">발주 설정 </t>
    </r>
    <r>
      <rPr>
        <sz val="9"/>
        <rFont val="맑은 고딕"/>
        <family val="0"/>
        <charset val="1"/>
      </rPr>
      <t xml:space="preserve">&gt; </t>
    </r>
    <r>
      <rPr>
        <sz val="9"/>
        <rFont val="DejaVu Sans"/>
        <family val="2"/>
      </rPr>
      <t xml:space="preserve">공정 설정</t>
    </r>
  </si>
  <si>
    <r>
      <rPr>
        <b val="true"/>
        <sz val="10"/>
        <color rgb="FF1F4E79"/>
        <rFont val="DejaVu Sans"/>
        <family val="2"/>
      </rPr>
      <t xml:space="preserve">④ 제조관리 </t>
    </r>
    <r>
      <rPr>
        <b val="true"/>
        <sz val="10"/>
        <color rgb="FF1F4E79"/>
        <rFont val="맑은 고딕"/>
        <family val="0"/>
        <charset val="1"/>
      </rPr>
      <t xml:space="preserve">(MF)</t>
    </r>
  </si>
  <si>
    <t xml:space="preserve">FR-MF-001</t>
  </si>
  <si>
    <t xml:space="preserve">MF</t>
  </si>
  <si>
    <t xml:space="preserve">실측연동</t>
  </si>
  <si>
    <r>
      <rPr>
        <sz val="9"/>
        <rFont val="DejaVu Sans"/>
        <family val="2"/>
      </rPr>
      <t xml:space="preserve">현장실측 데이터 수신 </t>
    </r>
    <r>
      <rPr>
        <sz val="9"/>
        <rFont val="맑은 고딕"/>
        <family val="0"/>
        <charset val="1"/>
      </rPr>
      <t xml:space="preserve">(REST API)</t>
    </r>
  </si>
  <si>
    <r>
      <rPr>
        <sz val="9"/>
        <rFont val="DejaVu Sans"/>
        <family val="2"/>
      </rPr>
      <t xml:space="preserve">현장실측 앱에서 전송된 측정 데이터를 </t>
    </r>
    <r>
      <rPr>
        <sz val="9"/>
        <rFont val="맑은 고딕"/>
        <family val="0"/>
        <charset val="1"/>
      </rPr>
      <t xml:space="preserve">REST API</t>
    </r>
    <r>
      <rPr>
        <sz val="9"/>
        <rFont val="DejaVu Sans"/>
        <family val="2"/>
      </rPr>
      <t xml:space="preserve">로 수신</t>
    </r>
  </si>
  <si>
    <r>
      <rPr>
        <sz val="9"/>
        <rFont val="DejaVu Sans"/>
        <family val="2"/>
      </rPr>
      <t xml:space="preserve">개발계획서 </t>
    </r>
    <r>
      <rPr>
        <sz val="9"/>
        <rFont val="맑은 고딕"/>
        <family val="0"/>
        <charset val="1"/>
      </rPr>
      <t xml:space="preserve">§3.2④</t>
    </r>
  </si>
  <si>
    <t xml:space="preserve">FR-MF-002</t>
  </si>
  <si>
    <t xml:space="preserve">수신 데이터 검증 및 이상값 알림</t>
  </si>
  <si>
    <t xml:space="preserve">수신된 실측 데이터의 유효성 검증 및 이상값 발생 시 알림</t>
  </si>
  <si>
    <t xml:space="preserve">FR-MF-003</t>
  </si>
  <si>
    <t xml:space="preserve">제작도</t>
  </si>
  <si>
    <t xml:space="preserve">정형 제품 제작도 자동 출력</t>
  </si>
  <si>
    <r>
      <rPr>
        <sz val="9"/>
        <rFont val="맑은 고딕"/>
        <family val="0"/>
        <charset val="1"/>
      </rPr>
      <t xml:space="preserve">BOM </t>
    </r>
    <r>
      <rPr>
        <sz val="9"/>
        <rFont val="DejaVu Sans"/>
        <family val="2"/>
      </rPr>
      <t xml:space="preserve">및 실측값 기반 정형 제품의 제작도를 자동 생성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</si>
  <si>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DejaVu Sans"/>
        <family val="2"/>
      </rPr>
      <t xml:space="preserve">신규 화면</t>
    </r>
    <r>
      <rPr>
        <sz val="9"/>
        <rFont val="맑은 고딕"/>
        <family val="0"/>
        <charset val="1"/>
      </rPr>
      <t xml:space="preserve">)</t>
    </r>
  </si>
  <si>
    <t xml:space="preserve">FR-MF-004</t>
  </si>
  <si>
    <t xml:space="preserve">비정형 제품 수동 편집기 제공</t>
  </si>
  <si>
    <t xml:space="preserve">비정형 제품의 제작도를 수동으로 편집할 수 있는 에디터 제공</t>
  </si>
  <si>
    <t xml:space="preserve">FR-MF-005</t>
  </si>
  <si>
    <r>
      <rPr>
        <sz val="9"/>
        <rFont val="맑은 고딕"/>
        <family val="0"/>
        <charset val="1"/>
      </rPr>
      <t xml:space="preserve">MES </t>
    </r>
    <r>
      <rPr>
        <sz val="9"/>
        <rFont val="DejaVu Sans"/>
        <family val="2"/>
      </rPr>
      <t xml:space="preserve">연동 제작도 데이터 반영</t>
    </r>
  </si>
  <si>
    <r>
      <rPr>
        <sz val="9"/>
        <rFont val="맑은 고딕"/>
        <family val="0"/>
        <charset val="1"/>
      </rPr>
      <t xml:space="preserve">MES</t>
    </r>
    <r>
      <rPr>
        <sz val="9"/>
        <rFont val="DejaVu Sans"/>
        <family val="2"/>
      </rPr>
      <t xml:space="preserve">에서 전달된 제조 데이터를 제작도에 반영</t>
    </r>
  </si>
  <si>
    <t xml:space="preserve">FR-MF-006</t>
  </si>
  <si>
    <t xml:space="preserve">절단관리</t>
  </si>
  <si>
    <t xml:space="preserve">실측 기반 최적 절단 조합 재계산</t>
  </si>
  <si>
    <t xml:space="preserve">현장실측값 반영 후 최적 절단 조합을 재계산</t>
  </si>
  <si>
    <t xml:space="preserve">FR-MF-007</t>
  </si>
  <si>
    <t xml:space="preserve">최종 절단 데이터 산출</t>
  </si>
  <si>
    <t xml:space="preserve">제작도 확정 후 최종 절단 데이터를 산출</t>
  </si>
  <si>
    <t xml:space="preserve">FR-MF-008</t>
  </si>
  <si>
    <t xml:space="preserve">제조 현장용 절단 지시서 출력</t>
  </si>
  <si>
    <t xml:space="preserve">제조 현장에서 사용할 절단 지시서를 자동 생성 및 출력</t>
  </si>
  <si>
    <t xml:space="preserve">FR-MF-009</t>
  </si>
  <si>
    <t xml:space="preserve">발주비교</t>
  </si>
  <si>
    <r>
      <rPr>
        <sz val="9"/>
        <rFont val="맑은 고딕"/>
        <family val="0"/>
        <charset val="1"/>
      </rPr>
      <t xml:space="preserve">1</t>
    </r>
    <r>
      <rPr>
        <sz val="9"/>
        <rFont val="DejaVu Sans"/>
        <family val="2"/>
      </rPr>
      <t xml:space="preserve">차 발주량 대비 최종 발주량 자동 비교</t>
    </r>
  </si>
  <si>
    <r>
      <rPr>
        <sz val="9"/>
        <rFont val="맑은 고딕"/>
        <family val="0"/>
        <charset val="1"/>
      </rPr>
      <t xml:space="preserve">1</t>
    </r>
    <r>
      <rPr>
        <sz val="9"/>
        <rFont val="DejaVu Sans"/>
        <family val="2"/>
      </rPr>
      <t xml:space="preserve">차 발주량과 실측 후 최종 발주량을 자동 비교하여 차이 분석</t>
    </r>
  </si>
  <si>
    <t xml:space="preserve">FR-MF-010</t>
  </si>
  <si>
    <t xml:space="preserve">추가 발주서 출력 및 처리</t>
  </si>
  <si>
    <r>
      <rPr>
        <sz val="9"/>
        <rFont val="맑은 고딕"/>
        <family val="0"/>
        <charset val="1"/>
      </rPr>
      <t xml:space="preserve">1</t>
    </r>
    <r>
      <rPr>
        <sz val="9"/>
        <rFont val="DejaVu Sans"/>
        <family val="2"/>
      </rPr>
      <t xml:space="preserve">차 대비 추가 발주가 필요한 자재에 대한 추가 발주서 출력</t>
    </r>
  </si>
  <si>
    <r>
      <rPr>
        <b val="true"/>
        <sz val="10"/>
        <color rgb="FF1F4E79"/>
        <rFont val="DejaVu Sans"/>
        <family val="2"/>
      </rPr>
      <t xml:space="preserve">⑤ 현장실측 </t>
    </r>
    <r>
      <rPr>
        <b val="true"/>
        <sz val="10"/>
        <color rgb="FF1F4E79"/>
        <rFont val="맑은 고딕"/>
        <family val="0"/>
        <charset val="1"/>
      </rPr>
      <t xml:space="preserve">(FS)</t>
    </r>
  </si>
  <si>
    <t xml:space="preserve">FR-FS-001</t>
  </si>
  <si>
    <t xml:space="preserve">FS</t>
  </si>
  <si>
    <r>
      <rPr>
        <sz val="9"/>
        <rFont val="맑은 고딕"/>
        <family val="0"/>
        <charset val="1"/>
      </rPr>
      <t xml:space="preserve">BLE</t>
    </r>
    <r>
      <rPr>
        <sz val="9"/>
        <rFont val="DejaVu Sans"/>
        <family val="2"/>
      </rPr>
      <t xml:space="preserve">연동</t>
    </r>
  </si>
  <si>
    <r>
      <rPr>
        <sz val="9"/>
        <rFont val="맑은 고딕"/>
        <family val="0"/>
        <charset val="1"/>
      </rPr>
      <t xml:space="preserve">BLE </t>
    </r>
    <r>
      <rPr>
        <sz val="9"/>
        <rFont val="DejaVu Sans"/>
        <family val="2"/>
      </rPr>
      <t xml:space="preserve">레이저 측정 장치 자동 탐색 및 페어링</t>
    </r>
  </si>
  <si>
    <r>
      <rPr>
        <sz val="9"/>
        <rFont val="맑은 고딕"/>
        <family val="0"/>
        <charset val="1"/>
      </rPr>
      <t xml:space="preserve">BLE </t>
    </r>
    <r>
      <rPr>
        <sz val="9"/>
        <rFont val="DejaVu Sans"/>
        <family val="2"/>
      </rPr>
      <t xml:space="preserve">프로토콜을 통해 레이저 측정 장치를 자동 탐색하고 페어링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</si>
  <si>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DejaVu Sans"/>
        <family val="2"/>
      </rPr>
      <t xml:space="preserve">모바일 앱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</si>
  <si>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DejaVu Sans"/>
        <family val="2"/>
      </rPr>
      <t xml:space="preserve">개발계획서 </t>
    </r>
    <r>
      <rPr>
        <sz val="9"/>
        <rFont val="맑은 고딕"/>
        <family val="0"/>
        <charset val="1"/>
      </rPr>
      <t xml:space="preserve">§3.2⑤</t>
    </r>
  </si>
  <si>
    <t xml:space="preserve">FR-FS-002</t>
  </si>
  <si>
    <t xml:space="preserve">측정값 실시간 수신</t>
  </si>
  <si>
    <r>
      <rPr>
        <sz val="9"/>
        <rFont val="맑은 고딕"/>
        <family val="0"/>
        <charset val="1"/>
      </rPr>
      <t xml:space="preserve">BLE </t>
    </r>
    <r>
      <rPr>
        <sz val="9"/>
        <rFont val="DejaVu Sans"/>
        <family val="2"/>
      </rPr>
      <t xml:space="preserve">연결된 장치에서 측정값을 실시간으로 수신</t>
    </r>
  </si>
  <si>
    <t xml:space="preserve">FR-FS-003</t>
  </si>
  <si>
    <t xml:space="preserve">장치 배터리 및 연결 상태 모니터링</t>
  </si>
  <si>
    <r>
      <rPr>
        <sz val="9"/>
        <rFont val="맑은 고딕"/>
        <family val="0"/>
        <charset val="1"/>
      </rPr>
      <t xml:space="preserve">BLE </t>
    </r>
    <r>
      <rPr>
        <sz val="9"/>
        <rFont val="DejaVu Sans"/>
        <family val="2"/>
      </rPr>
      <t xml:space="preserve">장치의 배터리 잔량 및 연결 상태를 모니터링</t>
    </r>
  </si>
  <si>
    <t xml:space="preserve">FR-FS-004</t>
  </si>
  <si>
    <t xml:space="preserve">다중 장치 지원</t>
  </si>
  <si>
    <r>
      <rPr>
        <sz val="9"/>
        <rFont val="DejaVu Sans"/>
        <family val="2"/>
      </rPr>
      <t xml:space="preserve">복수의 </t>
    </r>
    <r>
      <rPr>
        <sz val="9"/>
        <rFont val="맑은 고딕"/>
        <family val="0"/>
        <charset val="1"/>
      </rPr>
      <t xml:space="preserve">BLE </t>
    </r>
    <r>
      <rPr>
        <sz val="9"/>
        <rFont val="DejaVu Sans"/>
        <family val="2"/>
      </rPr>
      <t xml:space="preserve">측정 장치를 동시에 연결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관리</t>
    </r>
  </si>
  <si>
    <t xml:space="preserve">FR-FS-005</t>
  </si>
  <si>
    <t xml:space="preserve">실측관리</t>
  </si>
  <si>
    <r>
      <rPr>
        <sz val="9"/>
        <rFont val="DejaVu Sans"/>
        <family val="2"/>
      </rPr>
      <t xml:space="preserve">프로젝트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개소 목록 동기화</t>
    </r>
  </si>
  <si>
    <r>
      <rPr>
        <sz val="9"/>
        <rFont val="DejaVu Sans"/>
        <family val="2"/>
      </rPr>
      <t xml:space="preserve">서버의 프로젝트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개소 정보를 모바일 앱에 동기화</t>
    </r>
  </si>
  <si>
    <t xml:space="preserve">FR-FS-006</t>
  </si>
  <si>
    <t xml:space="preserve">개소별 측정 항목 자동 표시 및 진행률 관리</t>
  </si>
  <si>
    <t xml:space="preserve">개소별 필요한 측정 항목을 자동 표시하고 진행률 추적</t>
  </si>
  <si>
    <t xml:space="preserve">FR-FS-007</t>
  </si>
  <si>
    <r>
      <rPr>
        <sz val="9"/>
        <rFont val="맑은 고딕"/>
        <family val="0"/>
        <charset val="1"/>
      </rPr>
      <t xml:space="preserve">BLE </t>
    </r>
    <r>
      <rPr>
        <sz val="9"/>
        <rFont val="DejaVu Sans"/>
        <family val="2"/>
      </rPr>
      <t xml:space="preserve">수신값 자동 입력 및 수동 입력 병행</t>
    </r>
  </si>
  <si>
    <r>
      <rPr>
        <sz val="9"/>
        <rFont val="맑은 고딕"/>
        <family val="0"/>
        <charset val="1"/>
      </rPr>
      <t xml:space="preserve">BLE </t>
    </r>
    <r>
      <rPr>
        <sz val="9"/>
        <rFont val="DejaVu Sans"/>
        <family val="2"/>
      </rPr>
      <t xml:space="preserve">수신값을 자동 입력하되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수동 입력도 병행 가능</t>
    </r>
  </si>
  <si>
    <t xml:space="preserve">FR-FS-008</t>
  </si>
  <si>
    <t xml:space="preserve">측정값 검증 및 경고</t>
  </si>
  <si>
    <t xml:space="preserve">입력된 측정값의 허용 범위를 초과하면 경고 표시</t>
  </si>
  <si>
    <t xml:space="preserve">FR-FS-009</t>
  </si>
  <si>
    <t xml:space="preserve">측정 데이터 사진 첨부</t>
  </si>
  <si>
    <t xml:space="preserve">실측 현장의 사진을 측정 데이터에 첨부</t>
  </si>
  <si>
    <t xml:space="preserve">FR-FS-010</t>
  </si>
  <si>
    <t xml:space="preserve">데이터동기화</t>
  </si>
  <si>
    <r>
      <rPr>
        <sz val="9"/>
        <rFont val="맑은 고딕"/>
        <family val="0"/>
        <charset val="1"/>
      </rPr>
      <t xml:space="preserve">Wi-Fi/LTE </t>
    </r>
    <r>
      <rPr>
        <sz val="9"/>
        <rFont val="DejaVu Sans"/>
        <family val="2"/>
      </rPr>
      <t xml:space="preserve">실시간 서버 전송</t>
    </r>
  </si>
  <si>
    <t xml:space="preserve">네트워크 연결 시 측정 데이터를 실시간으로 서버에 전송</t>
  </si>
  <si>
    <t xml:space="preserve">FR-FS-011</t>
  </si>
  <si>
    <t xml:space="preserve">오프라인 로컬 저장 및 자동 동기화</t>
  </si>
  <si>
    <t xml:space="preserve">네트워크 미연결 시 로컬 저장 후 연결 시 자동 동기화</t>
  </si>
  <si>
    <t xml:space="preserve">FR-FS-012</t>
  </si>
  <si>
    <t xml:space="preserve">대시보드</t>
  </si>
  <si>
    <r>
      <rPr>
        <sz val="9"/>
        <rFont val="DejaVu Sans"/>
        <family val="2"/>
      </rPr>
      <t xml:space="preserve">현장 실측 대시보드 </t>
    </r>
    <r>
      <rPr>
        <sz val="9"/>
        <rFont val="맑은 고딕"/>
        <family val="0"/>
        <charset val="1"/>
      </rPr>
      <t xml:space="preserve">(WIMS </t>
    </r>
    <r>
      <rPr>
        <sz val="9"/>
        <rFont val="DejaVu Sans"/>
        <family val="2"/>
      </rPr>
      <t xml:space="preserve">웹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</si>
  <si>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WIMS </t>
    </r>
    <r>
      <rPr>
        <sz val="9"/>
        <rFont val="DejaVu Sans"/>
        <family val="2"/>
      </rPr>
      <t xml:space="preserve">웹에서 현장 실측 진행 현황을 대시보드로 확인</t>
    </r>
  </si>
  <si>
    <r>
      <rPr>
        <b val="true"/>
        <sz val="10"/>
        <color rgb="FF1F4E79"/>
        <rFont val="DejaVu Sans"/>
        <family val="2"/>
      </rPr>
      <t xml:space="preserve">공통 </t>
    </r>
    <r>
      <rPr>
        <b val="true"/>
        <sz val="10"/>
        <color rgb="FF1F4E79"/>
        <rFont val="맑은 고딕"/>
        <family val="0"/>
        <charset val="1"/>
      </rPr>
      <t xml:space="preserve">(CM)</t>
    </r>
  </si>
  <si>
    <t xml:space="preserve">FR-CM-001</t>
  </si>
  <si>
    <t xml:space="preserve">CM</t>
  </si>
  <si>
    <t xml:space="preserve">인증</t>
  </si>
  <si>
    <t xml:space="preserve">사용자 로그인 및 세션 관리</t>
  </si>
  <si>
    <r>
      <rPr>
        <sz val="9"/>
        <rFont val="DejaVu Sans"/>
        <family val="2"/>
      </rPr>
      <t xml:space="preserve">아이디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비밀번호 로그인 및 </t>
    </r>
    <r>
      <rPr>
        <sz val="9"/>
        <rFont val="맑은 고딕"/>
        <family val="0"/>
        <charset val="1"/>
      </rPr>
      <t xml:space="preserve">JWT </t>
    </r>
    <r>
      <rPr>
        <sz val="9"/>
        <rFont val="DejaVu Sans"/>
        <family val="2"/>
      </rPr>
      <t xml:space="preserve">기반 세션 관리</t>
    </r>
  </si>
  <si>
    <r>
      <rPr>
        <sz val="9"/>
        <rFont val="DejaVu Sans"/>
        <family val="2"/>
      </rPr>
      <t xml:space="preserve">로그인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시스템관리 </t>
    </r>
    <r>
      <rPr>
        <sz val="9"/>
        <rFont val="맑은 고딕"/>
        <family val="0"/>
        <charset val="1"/>
      </rPr>
      <t xml:space="preserve">&gt; </t>
    </r>
    <r>
      <rPr>
        <sz val="9"/>
        <rFont val="DejaVu Sans"/>
        <family val="2"/>
      </rPr>
      <t xml:space="preserve">비밀번호 변경</t>
    </r>
  </si>
  <si>
    <t xml:space="preserve">전체</t>
  </si>
  <si>
    <r>
      <rPr>
        <sz val="9"/>
        <rFont val="DejaVu Sans"/>
        <family val="2"/>
      </rPr>
      <t xml:space="preserve">개발계획서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사이트맵</t>
    </r>
  </si>
  <si>
    <t xml:space="preserve">FR-CM-002</t>
  </si>
  <si>
    <t xml:space="preserve">권한</t>
  </si>
  <si>
    <r>
      <rPr>
        <sz val="9"/>
        <rFont val="DejaVu Sans"/>
        <family val="2"/>
      </rPr>
      <t xml:space="preserve">역할 기반 접근제어 </t>
    </r>
    <r>
      <rPr>
        <sz val="9"/>
        <rFont val="맑은 고딕"/>
        <family val="0"/>
        <charset val="1"/>
      </rPr>
      <t xml:space="preserve">(RBAC)</t>
    </r>
  </si>
  <si>
    <r>
      <rPr>
        <sz val="9"/>
        <rFont val="DejaVu Sans"/>
        <family val="2"/>
      </rPr>
      <t xml:space="preserve">사용자 역할</t>
    </r>
    <r>
      <rPr>
        <sz val="9"/>
        <rFont val="맑은 고딕"/>
        <family val="0"/>
        <charset val="1"/>
      </rPr>
      <t xml:space="preserve">(SUPER/ADMIN/USER)</t>
    </r>
    <r>
      <rPr>
        <sz val="9"/>
        <rFont val="DejaVu Sans"/>
        <family val="2"/>
      </rPr>
      <t xml:space="preserve">별 메뉴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기능 접근 권한 관리</t>
    </r>
  </si>
  <si>
    <r>
      <rPr>
        <sz val="9"/>
        <rFont val="DejaVu Sans"/>
        <family val="2"/>
      </rPr>
      <t xml:space="preserve">시스템관리 </t>
    </r>
    <r>
      <rPr>
        <sz val="9"/>
        <rFont val="맑은 고딕"/>
        <family val="0"/>
        <charset val="1"/>
      </rPr>
      <t xml:space="preserve">&gt; </t>
    </r>
    <r>
      <rPr>
        <sz val="9"/>
        <rFont val="DejaVu Sans"/>
        <family val="2"/>
      </rPr>
      <t xml:space="preserve">사용자 관리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상세</t>
    </r>
  </si>
  <si>
    <t xml:space="preserve">FR-CM-003</t>
  </si>
  <si>
    <r>
      <rPr>
        <sz val="9"/>
        <rFont val="맑은 고딕"/>
        <family val="0"/>
        <charset val="1"/>
      </rPr>
      <t xml:space="preserve">UI</t>
    </r>
    <r>
      <rPr>
        <sz val="9"/>
        <rFont val="DejaVu Sans"/>
        <family val="2"/>
      </rPr>
      <t xml:space="preserve">공통</t>
    </r>
  </si>
  <si>
    <r>
      <rPr>
        <sz val="9"/>
        <rFont val="DejaVu Sans"/>
        <family val="2"/>
      </rPr>
      <t xml:space="preserve">공통 </t>
    </r>
    <r>
      <rPr>
        <sz val="9"/>
        <rFont val="맑은 고딕"/>
        <family val="0"/>
        <charset val="1"/>
      </rPr>
      <t xml:space="preserve">UI </t>
    </r>
    <r>
      <rPr>
        <sz val="9"/>
        <rFont val="DejaVu Sans"/>
        <family val="2"/>
      </rPr>
      <t xml:space="preserve">기능 </t>
    </r>
    <r>
      <rPr>
        <sz val="9"/>
        <rFont val="맑은 고딕"/>
        <family val="0"/>
        <charset val="1"/>
      </rPr>
      <t xml:space="preserve">(</t>
    </r>
    <r>
      <rPr>
        <sz val="9"/>
        <rFont val="DejaVu Sans"/>
        <family val="2"/>
      </rPr>
      <t xml:space="preserve">다중 창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단축키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</si>
  <si>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DejaVu Sans"/>
        <family val="2"/>
      </rPr>
      <t xml:space="preserve">다중 탭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창 지원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단축키 지원 등 공통 </t>
    </r>
    <r>
      <rPr>
        <sz val="9"/>
        <rFont val="맑은 고딕"/>
        <family val="0"/>
        <charset val="1"/>
      </rPr>
      <t xml:space="preserve">UI </t>
    </r>
    <r>
      <rPr>
        <sz val="9"/>
        <rFont val="DejaVu Sans"/>
        <family val="2"/>
      </rPr>
      <t xml:space="preserve">편의 기능</t>
    </r>
  </si>
  <si>
    <t xml:space="preserve">전체 화면 공통</t>
  </si>
  <si>
    <r>
      <rPr>
        <sz val="9"/>
        <rFont val="맑은 고딕"/>
        <family val="0"/>
        <charset val="1"/>
      </rPr>
      <t xml:space="preserve">AN11-2 </t>
    </r>
    <r>
      <rPr>
        <sz val="9"/>
        <rFont val="DejaVu Sans"/>
        <family val="2"/>
      </rPr>
      <t xml:space="preserve">사용성</t>
    </r>
  </si>
  <si>
    <t xml:space="preserve">FR-CM-004</t>
  </si>
  <si>
    <t xml:space="preserve">시스템관리</t>
  </si>
  <si>
    <r>
      <rPr>
        <sz val="9"/>
        <rFont val="DejaVu Sans"/>
        <family val="2"/>
      </rPr>
      <t xml:space="preserve">시스템 관리 </t>
    </r>
    <r>
      <rPr>
        <sz val="9"/>
        <rFont val="맑은 고딕"/>
        <family val="0"/>
        <charset val="1"/>
      </rPr>
      <t xml:space="preserve">(</t>
    </r>
    <r>
      <rPr>
        <sz val="9"/>
        <rFont val="DejaVu Sans"/>
        <family val="2"/>
      </rPr>
      <t xml:space="preserve">사용자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코드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설정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</si>
  <si>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DejaVu Sans"/>
        <family val="2"/>
      </rPr>
      <t xml:space="preserve">사용자 </t>
    </r>
    <r>
      <rPr>
        <sz val="9"/>
        <rFont val="맑은 고딕"/>
        <family val="0"/>
        <charset val="1"/>
      </rPr>
      <t xml:space="preserve">CRUD, </t>
    </r>
    <r>
      <rPr>
        <sz val="9"/>
        <rFont val="DejaVu Sans"/>
        <family val="2"/>
      </rPr>
      <t xml:space="preserve">코드 관리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시스템 설정 관리</t>
    </r>
  </si>
  <si>
    <r>
      <rPr>
        <sz val="9"/>
        <rFont val="DejaVu Sans"/>
        <family val="2"/>
      </rPr>
      <t xml:space="preserve">시스템관리 </t>
    </r>
    <r>
      <rPr>
        <sz val="9"/>
        <rFont val="맑은 고딕"/>
        <family val="0"/>
        <charset val="1"/>
      </rPr>
      <t xml:space="preserve">&gt; </t>
    </r>
    <r>
      <rPr>
        <sz val="9"/>
        <rFont val="DejaVu Sans"/>
        <family val="2"/>
      </rPr>
      <t xml:space="preserve">사용자관리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그룹관리</t>
    </r>
  </si>
  <si>
    <t xml:space="preserve">사이트맵</t>
  </si>
  <si>
    <t xml:space="preserve">FR-CM-005</t>
  </si>
  <si>
    <t xml:space="preserve">오류수정</t>
  </si>
  <si>
    <r>
      <rPr>
        <sz val="9"/>
        <rFont val="DejaVu Sans"/>
        <family val="2"/>
      </rPr>
      <t xml:space="preserve">현행 시스템 오류 수정 </t>
    </r>
    <r>
      <rPr>
        <sz val="9"/>
        <rFont val="맑은 고딕"/>
        <family val="0"/>
        <charset val="1"/>
      </rPr>
      <t xml:space="preserve">(11</t>
    </r>
    <r>
      <rPr>
        <sz val="9"/>
        <rFont val="DejaVu Sans"/>
        <family val="2"/>
      </rPr>
      <t xml:space="preserve">건 통합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</si>
  <si>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AN11-2</t>
    </r>
    <r>
      <rPr>
        <sz val="9"/>
        <rFont val="DejaVu Sans"/>
        <family val="2"/>
      </rPr>
      <t xml:space="preserve">에서 식별된 현행 시스템 오류 </t>
    </r>
    <r>
      <rPr>
        <sz val="9"/>
        <rFont val="맑은 고딕"/>
        <family val="0"/>
        <charset val="1"/>
      </rPr>
      <t xml:space="preserve">11</t>
    </r>
    <r>
      <rPr>
        <sz val="9"/>
        <rFont val="DejaVu Sans"/>
        <family val="2"/>
      </rPr>
      <t xml:space="preserve">건을 통합하여 수정</t>
    </r>
  </si>
  <si>
    <t xml:space="preserve">해당 각 화면</t>
  </si>
  <si>
    <r>
      <rPr>
        <sz val="9"/>
        <rFont val="맑은 고딕"/>
        <family val="0"/>
        <charset val="1"/>
      </rPr>
      <t xml:space="preserve">AN11-2 </t>
    </r>
    <r>
      <rPr>
        <sz val="9"/>
        <rFont val="DejaVu Sans"/>
        <family val="2"/>
      </rPr>
      <t xml:space="preserve">오류 </t>
    </r>
    <r>
      <rPr>
        <sz val="9"/>
        <rFont val="맑은 고딕"/>
        <family val="0"/>
        <charset val="1"/>
      </rPr>
      <t xml:space="preserve">11</t>
    </r>
    <r>
      <rPr>
        <sz val="9"/>
        <rFont val="DejaVu Sans"/>
        <family val="2"/>
      </rPr>
      <t xml:space="preserve">건</t>
    </r>
  </si>
  <si>
    <t xml:space="preserve">FR-CM-006</t>
  </si>
  <si>
    <t xml:space="preserve">모바일</t>
  </si>
  <si>
    <t xml:space="preserve">모바일 견적 조회</t>
  </si>
  <si>
    <t xml:space="preserve">모바일 앱에서 견적 정보를 조회할 수 있는 기능</t>
  </si>
  <si>
    <r>
      <rPr>
        <b val="true"/>
        <sz val="14"/>
        <color rgb="FF1F4E79"/>
        <rFont val="맑은 고딕"/>
        <family val="0"/>
        <charset val="1"/>
      </rPr>
      <t xml:space="preserve">WIMS 2.0 </t>
    </r>
    <r>
      <rPr>
        <b val="true"/>
        <sz val="14"/>
        <color rgb="FF1F4E79"/>
        <rFont val="DejaVu Sans"/>
        <family val="2"/>
      </rPr>
      <t xml:space="preserve">비기능 요구사항 목록</t>
    </r>
  </si>
  <si>
    <r>
      <rPr>
        <sz val="9"/>
        <color rgb="FF666666"/>
        <rFont val="맑은 고딕"/>
        <family val="0"/>
        <charset val="1"/>
      </rPr>
      <t xml:space="preserve">AN12-0-4 </t>
    </r>
    <r>
      <rPr>
        <sz val="9"/>
        <color rgb="FF666666"/>
        <rFont val="DejaVu Sans"/>
        <family val="2"/>
      </rPr>
      <t xml:space="preserve">비기능 요구사항 보완항목 기반  </t>
    </r>
    <r>
      <rPr>
        <sz val="9"/>
        <color rgb="FF666666"/>
        <rFont val="맑은 고딕"/>
        <family val="0"/>
        <charset val="1"/>
      </rPr>
      <t xml:space="preserve">|  </t>
    </r>
    <r>
      <rPr>
        <sz val="9"/>
        <color rgb="FF666666"/>
        <rFont val="DejaVu Sans"/>
        <family val="2"/>
      </rPr>
      <t xml:space="preserve">총 </t>
    </r>
    <r>
      <rPr>
        <sz val="9"/>
        <color rgb="FF666666"/>
        <rFont val="맑은 고딕"/>
        <family val="0"/>
        <charset val="1"/>
      </rPr>
      <t xml:space="preserve">49</t>
    </r>
    <r>
      <rPr>
        <sz val="9"/>
        <color rgb="FF666666"/>
        <rFont val="DejaVu Sans"/>
        <family val="2"/>
      </rPr>
      <t xml:space="preserve">건</t>
    </r>
  </si>
  <si>
    <t xml:space="preserve">분류</t>
  </si>
  <si>
    <r>
      <rPr>
        <b val="true"/>
        <sz val="10"/>
        <color rgb="FF1F4E79"/>
        <rFont val="DejaVu Sans"/>
        <family val="2"/>
      </rPr>
      <t xml:space="preserve">보안 </t>
    </r>
    <r>
      <rPr>
        <b val="true"/>
        <sz val="10"/>
        <color rgb="FF1F4E79"/>
        <rFont val="맑은 고딕"/>
        <family val="0"/>
        <charset val="1"/>
      </rPr>
      <t xml:space="preserve">(Security) — 8</t>
    </r>
    <r>
      <rPr>
        <b val="true"/>
        <sz val="10"/>
        <color rgb="FF1F4E79"/>
        <rFont val="DejaVu Sans"/>
        <family val="2"/>
      </rPr>
      <t xml:space="preserve">건</t>
    </r>
  </si>
  <si>
    <t xml:space="preserve">NFR-SC-CM-001</t>
  </si>
  <si>
    <t xml:space="preserve">보안</t>
  </si>
  <si>
    <r>
      <rPr>
        <sz val="9"/>
        <rFont val="맑은 고딕"/>
        <family val="0"/>
        <charset val="1"/>
      </rPr>
      <t xml:space="preserve">JWT </t>
    </r>
    <r>
      <rPr>
        <sz val="9"/>
        <rFont val="DejaVu Sans"/>
        <family val="2"/>
      </rPr>
      <t xml:space="preserve">토큰 기반 사용자 인증</t>
    </r>
  </si>
  <si>
    <r>
      <rPr>
        <sz val="9"/>
        <rFont val="DejaVu Sans"/>
        <family val="2"/>
      </rPr>
      <t xml:space="preserve">모든 </t>
    </r>
    <r>
      <rPr>
        <sz val="9"/>
        <rFont val="맑은 고딕"/>
        <family val="0"/>
        <charset val="1"/>
      </rPr>
      <t xml:space="preserve">API </t>
    </r>
    <r>
      <rPr>
        <sz val="9"/>
        <rFont val="DejaVu Sans"/>
        <family val="2"/>
      </rPr>
      <t xml:space="preserve">요청에 대해 </t>
    </r>
    <r>
      <rPr>
        <sz val="9"/>
        <rFont val="맑은 고딕"/>
        <family val="0"/>
        <charset val="1"/>
      </rPr>
      <t xml:space="preserve">JWT </t>
    </r>
    <r>
      <rPr>
        <sz val="9"/>
        <rFont val="DejaVu Sans"/>
        <family val="2"/>
      </rPr>
      <t xml:space="preserve">토큰 기반 인증을 적용한다</t>
    </r>
  </si>
  <si>
    <t xml:space="preserve">AN12-0-4</t>
  </si>
  <si>
    <t xml:space="preserve">NFR-SC-CM-002</t>
  </si>
  <si>
    <r>
      <rPr>
        <sz val="9"/>
        <rFont val="DejaVu Sans"/>
        <family val="2"/>
      </rPr>
      <t xml:space="preserve">역할</t>
    </r>
    <r>
      <rPr>
        <sz val="9"/>
        <rFont val="맑은 고딕"/>
        <family val="0"/>
        <charset val="1"/>
      </rPr>
      <t xml:space="preserve">(Role) </t>
    </r>
    <r>
      <rPr>
        <sz val="9"/>
        <rFont val="DejaVu Sans"/>
        <family val="2"/>
      </rPr>
      <t xml:space="preserve">기반 접근제어 정책</t>
    </r>
  </si>
  <si>
    <r>
      <rPr>
        <sz val="9"/>
        <rFont val="맑은 고딕"/>
        <family val="0"/>
        <charset val="1"/>
      </rPr>
      <t xml:space="preserve">RBAC</t>
    </r>
    <r>
      <rPr>
        <sz val="9"/>
        <rFont val="DejaVu Sans"/>
        <family val="2"/>
      </rPr>
      <t xml:space="preserve">를 적용하여 사용자 역할별로 메뉴</t>
    </r>
    <r>
      <rPr>
        <sz val="9"/>
        <rFont val="맑은 고딕"/>
        <family val="0"/>
        <charset val="1"/>
      </rPr>
      <t xml:space="preserve">·API </t>
    </r>
    <r>
      <rPr>
        <sz val="9"/>
        <rFont val="DejaVu Sans"/>
        <family val="2"/>
      </rPr>
      <t xml:space="preserve">접근을 통제한다</t>
    </r>
  </si>
  <si>
    <t xml:space="preserve">NFR-SC-CM-003</t>
  </si>
  <si>
    <r>
      <rPr>
        <sz val="9"/>
        <rFont val="맑은 고딕"/>
        <family val="0"/>
        <charset val="1"/>
      </rPr>
      <t xml:space="preserve">HTTPS(TLS 1.2+) </t>
    </r>
    <r>
      <rPr>
        <sz val="9"/>
        <rFont val="DejaVu Sans"/>
        <family val="2"/>
      </rPr>
      <t xml:space="preserve">전 구간 암호화 통신</t>
    </r>
  </si>
  <si>
    <r>
      <rPr>
        <sz val="9"/>
        <rFont val="DejaVu Sans"/>
        <family val="2"/>
      </rPr>
      <t xml:space="preserve">클라이언트</t>
    </r>
    <r>
      <rPr>
        <sz val="9"/>
        <rFont val="맑은 고딕"/>
        <family val="0"/>
        <charset val="1"/>
      </rPr>
      <t xml:space="preserve">-</t>
    </r>
    <r>
      <rPr>
        <sz val="9"/>
        <rFont val="DejaVu Sans"/>
        <family val="2"/>
      </rPr>
      <t xml:space="preserve">서버 간 모든 통신을 </t>
    </r>
    <r>
      <rPr>
        <sz val="9"/>
        <rFont val="맑은 고딕"/>
        <family val="0"/>
        <charset val="1"/>
      </rPr>
      <t xml:space="preserve">HTTPS</t>
    </r>
    <r>
      <rPr>
        <sz val="9"/>
        <rFont val="DejaVu Sans"/>
        <family val="2"/>
      </rPr>
      <t xml:space="preserve">로 암호화한다</t>
    </r>
  </si>
  <si>
    <t xml:space="preserve">NFR-SC-FS-001</t>
  </si>
  <si>
    <r>
      <rPr>
        <sz val="9"/>
        <rFont val="DejaVu Sans"/>
        <family val="2"/>
      </rPr>
      <t xml:space="preserve">앱 내 데이터 </t>
    </r>
    <r>
      <rPr>
        <sz val="9"/>
        <rFont val="맑은 고딕"/>
        <family val="0"/>
        <charset val="1"/>
      </rPr>
      <t xml:space="preserve">AES-256 </t>
    </r>
    <r>
      <rPr>
        <sz val="9"/>
        <rFont val="DejaVu Sans"/>
        <family val="2"/>
      </rPr>
      <t xml:space="preserve">암호화 저장</t>
    </r>
  </si>
  <si>
    <r>
      <rPr>
        <sz val="9"/>
        <rFont val="DejaVu Sans"/>
        <family val="2"/>
      </rPr>
      <t xml:space="preserve">모바일 앱 로컬 </t>
    </r>
    <r>
      <rPr>
        <sz val="9"/>
        <rFont val="맑은 고딕"/>
        <family val="0"/>
        <charset val="1"/>
      </rPr>
      <t xml:space="preserve">DB</t>
    </r>
    <r>
      <rPr>
        <sz val="9"/>
        <rFont val="DejaVu Sans"/>
        <family val="2"/>
      </rPr>
      <t xml:space="preserve">에 저장되는 데이터를 </t>
    </r>
    <r>
      <rPr>
        <sz val="9"/>
        <rFont val="맑은 고딕"/>
        <family val="0"/>
        <charset val="1"/>
      </rPr>
      <t xml:space="preserve">AES-256</t>
    </r>
    <r>
      <rPr>
        <sz val="9"/>
        <rFont val="DejaVu Sans"/>
        <family val="2"/>
      </rPr>
      <t xml:space="preserve">으로 암호화한다</t>
    </r>
  </si>
  <si>
    <t xml:space="preserve">NFR-SC-PM-001</t>
  </si>
  <si>
    <r>
      <rPr>
        <sz val="9"/>
        <rFont val="맑은 고딕"/>
        <family val="0"/>
        <charset val="1"/>
      </rPr>
      <t xml:space="preserve">MES </t>
    </r>
    <r>
      <rPr>
        <sz val="9"/>
        <rFont val="DejaVu Sans"/>
        <family val="2"/>
      </rPr>
      <t xml:space="preserve">전용 서비스 계정 발급 및 관리</t>
    </r>
  </si>
  <si>
    <r>
      <rPr>
        <sz val="9"/>
        <rFont val="맑은 고딕"/>
        <family val="0"/>
        <charset val="1"/>
      </rPr>
      <t xml:space="preserve">MES </t>
    </r>
    <r>
      <rPr>
        <sz val="9"/>
        <rFont val="DejaVu Sans"/>
        <family val="2"/>
      </rPr>
      <t xml:space="preserve">연동 시 전용 서비스 계정을 발급하고 관리한다</t>
    </r>
  </si>
  <si>
    <t xml:space="preserve">NFR-SC-FS-002</t>
  </si>
  <si>
    <t xml:space="preserve">기기 분실 시 원격 데이터 삭제</t>
  </si>
  <si>
    <t xml:space="preserve">모바일 기기 분실 시 서버에서 원격으로 앱 데이터를 삭제할 수 있다</t>
  </si>
  <si>
    <t xml:space="preserve">NFR-SC-CM-004</t>
  </si>
  <si>
    <r>
      <rPr>
        <sz val="9"/>
        <rFont val="DejaVu Sans"/>
        <family val="2"/>
      </rPr>
      <t xml:space="preserve">비밀번호 정책 </t>
    </r>
    <r>
      <rPr>
        <sz val="9"/>
        <rFont val="맑은 고딕"/>
        <family val="0"/>
        <charset val="1"/>
      </rPr>
      <t xml:space="preserve">(</t>
    </r>
    <r>
      <rPr>
        <sz val="9"/>
        <rFont val="DejaVu Sans"/>
        <family val="2"/>
      </rPr>
      <t xml:space="preserve">복잡도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만료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잠금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</si>
  <si>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DejaVu Sans"/>
        <family val="2"/>
      </rPr>
      <t xml:space="preserve">비밀번호 복잡도 규칙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만료 기간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연속 실패 잠금 정책을 적용한다</t>
    </r>
  </si>
  <si>
    <t xml:space="preserve">NFR-SC-CM-005</t>
  </si>
  <si>
    <r>
      <rPr>
        <sz val="9"/>
        <rFont val="맑은 고딕"/>
        <family val="0"/>
        <charset val="1"/>
      </rPr>
      <t xml:space="preserve">XSS/SQL Injection </t>
    </r>
    <r>
      <rPr>
        <sz val="9"/>
        <rFont val="DejaVu Sans"/>
        <family val="2"/>
      </rPr>
      <t xml:space="preserve">방어</t>
    </r>
  </si>
  <si>
    <r>
      <rPr>
        <sz val="9"/>
        <rFont val="DejaVu Sans"/>
        <family val="2"/>
      </rPr>
      <t xml:space="preserve">입력값 검증 및 </t>
    </r>
    <r>
      <rPr>
        <sz val="9"/>
        <rFont val="맑은 고딕"/>
        <family val="0"/>
        <charset val="1"/>
      </rPr>
      <t xml:space="preserve">Parameterized Query</t>
    </r>
    <r>
      <rPr>
        <sz val="9"/>
        <rFont val="DejaVu Sans"/>
        <family val="2"/>
      </rPr>
      <t xml:space="preserve">로 보안 취약점을 방어한다</t>
    </r>
  </si>
  <si>
    <r>
      <rPr>
        <b val="true"/>
        <sz val="10"/>
        <color rgb="FF1F4E79"/>
        <rFont val="DejaVu Sans"/>
        <family val="2"/>
      </rPr>
      <t xml:space="preserve">성능 </t>
    </r>
    <r>
      <rPr>
        <b val="true"/>
        <sz val="10"/>
        <color rgb="FF1F4E79"/>
        <rFont val="맑은 고딕"/>
        <family val="0"/>
        <charset val="1"/>
      </rPr>
      <t xml:space="preserve">(Performance) — 8</t>
    </r>
    <r>
      <rPr>
        <b val="true"/>
        <sz val="10"/>
        <color rgb="FF1F4E79"/>
        <rFont val="DejaVu Sans"/>
        <family val="2"/>
      </rPr>
      <t xml:space="preserve">건</t>
    </r>
  </si>
  <si>
    <t xml:space="preserve">NFR-PF-CM-001</t>
  </si>
  <si>
    <t xml:space="preserve">성능</t>
  </si>
  <si>
    <r>
      <rPr>
        <sz val="9"/>
        <rFont val="DejaVu Sans"/>
        <family val="2"/>
      </rPr>
      <t xml:space="preserve">일반 화면 응답시간 </t>
    </r>
    <r>
      <rPr>
        <sz val="9"/>
        <rFont val="맑은 고딕"/>
        <family val="0"/>
        <charset val="1"/>
      </rPr>
      <t xml:space="preserve">2</t>
    </r>
    <r>
      <rPr>
        <sz val="9"/>
        <rFont val="DejaVu Sans"/>
        <family val="2"/>
      </rPr>
      <t xml:space="preserve">초 이내</t>
    </r>
  </si>
  <si>
    <r>
      <rPr>
        <sz val="9"/>
        <rFont val="DejaVu Sans"/>
        <family val="2"/>
      </rPr>
      <t xml:space="preserve">목록 조회 등 일반 화면의 응답시간을 </t>
    </r>
    <r>
      <rPr>
        <sz val="9"/>
        <rFont val="맑은 고딕"/>
        <family val="0"/>
        <charset val="1"/>
      </rPr>
      <t xml:space="preserve">2</t>
    </r>
    <r>
      <rPr>
        <sz val="9"/>
        <rFont val="DejaVu Sans"/>
        <family val="2"/>
      </rPr>
      <t xml:space="preserve">초 이내로 보장한다</t>
    </r>
  </si>
  <si>
    <t xml:space="preserve">AN11-2, AN12-0-4</t>
  </si>
  <si>
    <t xml:space="preserve">NFR-PF-PM-001</t>
  </si>
  <si>
    <r>
      <rPr>
        <sz val="9"/>
        <rFont val="맑은 고딕"/>
        <family val="0"/>
        <charset val="1"/>
      </rPr>
      <t xml:space="preserve">BOM </t>
    </r>
    <r>
      <rPr>
        <sz val="9"/>
        <rFont val="DejaVu Sans"/>
        <family val="2"/>
      </rPr>
      <t xml:space="preserve">트리 </t>
    </r>
    <r>
      <rPr>
        <sz val="9"/>
        <rFont val="맑은 고딕"/>
        <family val="0"/>
        <charset val="1"/>
      </rPr>
      <t xml:space="preserve">1</t>
    </r>
    <r>
      <rPr>
        <sz val="9"/>
        <rFont val="DejaVu Sans"/>
        <family val="2"/>
      </rPr>
      <t xml:space="preserve">만건 렌더링 </t>
    </r>
    <r>
      <rPr>
        <sz val="9"/>
        <rFont val="맑은 고딕"/>
        <family val="0"/>
        <charset val="1"/>
      </rPr>
      <t xml:space="preserve">5</t>
    </r>
    <r>
      <rPr>
        <sz val="9"/>
        <rFont val="DejaVu Sans"/>
        <family val="2"/>
      </rPr>
      <t xml:space="preserve">초 이내</t>
    </r>
  </si>
  <si>
    <r>
      <rPr>
        <sz val="9"/>
        <rFont val="맑은 고딕"/>
        <family val="0"/>
        <charset val="1"/>
      </rPr>
      <t xml:space="preserve">BOM </t>
    </r>
    <r>
      <rPr>
        <sz val="9"/>
        <rFont val="DejaVu Sans"/>
        <family val="2"/>
      </rPr>
      <t xml:space="preserve">트리 뷰에서 </t>
    </r>
    <r>
      <rPr>
        <sz val="9"/>
        <rFont val="맑은 고딕"/>
        <family val="0"/>
        <charset val="1"/>
      </rPr>
      <t xml:space="preserve">1</t>
    </r>
    <r>
      <rPr>
        <sz val="9"/>
        <rFont val="DejaVu Sans"/>
        <family val="2"/>
      </rPr>
      <t xml:space="preserve">만건 노드를 </t>
    </r>
    <r>
      <rPr>
        <sz val="9"/>
        <rFont val="맑은 고딕"/>
        <family val="0"/>
        <charset val="1"/>
      </rPr>
      <t xml:space="preserve">5</t>
    </r>
    <r>
      <rPr>
        <sz val="9"/>
        <rFont val="DejaVu Sans"/>
        <family val="2"/>
      </rPr>
      <t xml:space="preserve">초 이내에 렌더링한다</t>
    </r>
  </si>
  <si>
    <t xml:space="preserve">NFR-PF-ES-001</t>
  </si>
  <si>
    <r>
      <rPr>
        <sz val="9"/>
        <rFont val="DejaVu Sans"/>
        <family val="2"/>
      </rPr>
      <t xml:space="preserve">대용량 </t>
    </r>
    <r>
      <rPr>
        <sz val="9"/>
        <rFont val="맑은 고딕"/>
        <family val="0"/>
        <charset val="1"/>
      </rPr>
      <t xml:space="preserve">CAD </t>
    </r>
    <r>
      <rPr>
        <sz val="9"/>
        <rFont val="DejaVu Sans"/>
        <family val="2"/>
      </rPr>
      <t xml:space="preserve">도면</t>
    </r>
    <r>
      <rPr>
        <sz val="9"/>
        <rFont val="맑은 고딕"/>
        <family val="0"/>
        <charset val="1"/>
      </rPr>
      <t xml:space="preserve">(100MB) </t>
    </r>
    <r>
      <rPr>
        <sz val="9"/>
        <rFont val="DejaVu Sans"/>
        <family val="2"/>
      </rPr>
      <t xml:space="preserve">안정적 렌더링</t>
    </r>
  </si>
  <si>
    <r>
      <rPr>
        <sz val="9"/>
        <rFont val="맑은 고딕"/>
        <family val="0"/>
        <charset val="1"/>
      </rPr>
      <t xml:space="preserve">100MB</t>
    </r>
    <r>
      <rPr>
        <sz val="9"/>
        <rFont val="DejaVu Sans"/>
        <family val="2"/>
      </rPr>
      <t xml:space="preserve">급 </t>
    </r>
    <r>
      <rPr>
        <sz val="9"/>
        <rFont val="맑은 고딕"/>
        <family val="0"/>
        <charset val="1"/>
      </rPr>
      <t xml:space="preserve">CAD </t>
    </r>
    <r>
      <rPr>
        <sz val="9"/>
        <rFont val="DejaVu Sans"/>
        <family val="2"/>
      </rPr>
      <t xml:space="preserve">도면을 안정적으로 웹 뷰어에서 렌더링한다</t>
    </r>
  </si>
  <si>
    <r>
      <rPr>
        <sz val="9"/>
        <rFont val="맑은 고딕"/>
        <family val="0"/>
        <charset val="1"/>
      </rPr>
      <t xml:space="preserve">AN11-2 </t>
    </r>
    <r>
      <rPr>
        <sz val="9"/>
        <rFont val="DejaVu Sans"/>
        <family val="2"/>
      </rPr>
      <t xml:space="preserve">핵심</t>
    </r>
    <r>
      <rPr>
        <sz val="9"/>
        <rFont val="맑은 고딕"/>
        <family val="0"/>
        <charset val="1"/>
      </rPr>
      <t xml:space="preserve">#3(4</t>
    </r>
    <r>
      <rPr>
        <sz val="9"/>
        <rFont val="DejaVu Sans"/>
        <family val="2"/>
      </rPr>
      <t xml:space="preserve">명</t>
    </r>
    <r>
      <rPr>
        <sz val="9"/>
        <rFont val="맑은 고딕"/>
        <family val="0"/>
        <charset val="1"/>
      </rPr>
      <t xml:space="preserve">)</t>
    </r>
  </si>
  <si>
    <t xml:space="preserve">NFR-PF-CM-002</t>
  </si>
  <si>
    <r>
      <rPr>
        <sz val="9"/>
        <rFont val="DejaVu Sans"/>
        <family val="2"/>
      </rPr>
      <t xml:space="preserve">동시접속 </t>
    </r>
    <r>
      <rPr>
        <sz val="9"/>
        <rFont val="맑은 고딕"/>
        <family val="0"/>
        <charset val="1"/>
      </rPr>
      <t xml:space="preserve">50</t>
    </r>
    <r>
      <rPr>
        <sz val="9"/>
        <rFont val="DejaVu Sans"/>
        <family val="2"/>
      </rPr>
      <t xml:space="preserve">인 기준 안정성 보장</t>
    </r>
  </si>
  <si>
    <r>
      <rPr>
        <sz val="9"/>
        <rFont val="DejaVu Sans"/>
        <family val="2"/>
      </rPr>
      <t xml:space="preserve">동시접속 </t>
    </r>
    <r>
      <rPr>
        <sz val="9"/>
        <rFont val="맑은 고딕"/>
        <family val="0"/>
        <charset val="1"/>
      </rPr>
      <t xml:space="preserve">50</t>
    </r>
    <r>
      <rPr>
        <sz val="9"/>
        <rFont val="DejaVu Sans"/>
        <family val="2"/>
      </rPr>
      <t xml:space="preserve">인 환경에서도 안정적인 시스템 운영을 보장한다</t>
    </r>
  </si>
  <si>
    <t xml:space="preserve">NFR-PF-PM-002</t>
  </si>
  <si>
    <r>
      <rPr>
        <sz val="9"/>
        <rFont val="맑은 고딕"/>
        <family val="0"/>
        <charset val="1"/>
      </rPr>
      <t xml:space="preserve">MES REST API </t>
    </r>
    <r>
      <rPr>
        <sz val="9"/>
        <rFont val="DejaVu Sans"/>
        <family val="2"/>
      </rPr>
      <t xml:space="preserve">응답시간 </t>
    </r>
    <r>
      <rPr>
        <sz val="9"/>
        <rFont val="맑은 고딕"/>
        <family val="0"/>
        <charset val="1"/>
      </rPr>
      <t xml:space="preserve">1</t>
    </r>
    <r>
      <rPr>
        <sz val="9"/>
        <rFont val="DejaVu Sans"/>
        <family val="2"/>
      </rPr>
      <t xml:space="preserve">초 이내</t>
    </r>
  </si>
  <si>
    <r>
      <rPr>
        <sz val="9"/>
        <rFont val="맑은 고딕"/>
        <family val="0"/>
        <charset val="1"/>
      </rPr>
      <t xml:space="preserve">MES </t>
    </r>
    <r>
      <rPr>
        <sz val="9"/>
        <rFont val="DejaVu Sans"/>
        <family val="2"/>
      </rPr>
      <t xml:space="preserve">연동 </t>
    </r>
    <r>
      <rPr>
        <sz val="9"/>
        <rFont val="맑은 고딕"/>
        <family val="0"/>
        <charset val="1"/>
      </rPr>
      <t xml:space="preserve">REST API</t>
    </r>
    <r>
      <rPr>
        <sz val="9"/>
        <rFont val="DejaVu Sans"/>
        <family val="2"/>
      </rPr>
      <t xml:space="preserve">의 응답시간을 </t>
    </r>
    <r>
      <rPr>
        <sz val="9"/>
        <rFont val="맑은 고딕"/>
        <family val="0"/>
        <charset val="1"/>
      </rPr>
      <t xml:space="preserve">1</t>
    </r>
    <r>
      <rPr>
        <sz val="9"/>
        <rFont val="DejaVu Sans"/>
        <family val="2"/>
      </rPr>
      <t xml:space="preserve">초 이내로 보장한다</t>
    </r>
  </si>
  <si>
    <t xml:space="preserve">NFR-PF-FS-001</t>
  </si>
  <si>
    <r>
      <rPr>
        <sz val="9"/>
        <rFont val="맑은 고딕"/>
        <family val="0"/>
        <charset val="1"/>
      </rPr>
      <t xml:space="preserve">BLE </t>
    </r>
    <r>
      <rPr>
        <sz val="9"/>
        <rFont val="DejaVu Sans"/>
        <family val="2"/>
      </rPr>
      <t xml:space="preserve">측정값 수신 지연 </t>
    </r>
    <r>
      <rPr>
        <sz val="9"/>
        <rFont val="맑은 고딕"/>
        <family val="0"/>
        <charset val="1"/>
      </rPr>
      <t xml:space="preserve">500ms </t>
    </r>
    <r>
      <rPr>
        <sz val="9"/>
        <rFont val="DejaVu Sans"/>
        <family val="2"/>
      </rPr>
      <t xml:space="preserve">이내</t>
    </r>
  </si>
  <si>
    <r>
      <rPr>
        <sz val="9"/>
        <rFont val="맑은 고딕"/>
        <family val="0"/>
        <charset val="1"/>
      </rPr>
      <t xml:space="preserve">BLE </t>
    </r>
    <r>
      <rPr>
        <sz val="9"/>
        <rFont val="DejaVu Sans"/>
        <family val="2"/>
      </rPr>
      <t xml:space="preserve">장치로부터 측정값 수신 지연시간을 </t>
    </r>
    <r>
      <rPr>
        <sz val="9"/>
        <rFont val="맑은 고딕"/>
        <family val="0"/>
        <charset val="1"/>
      </rPr>
      <t xml:space="preserve">500ms </t>
    </r>
    <r>
      <rPr>
        <sz val="9"/>
        <rFont val="DejaVu Sans"/>
        <family val="2"/>
      </rPr>
      <t xml:space="preserve">이내로 보장한다</t>
    </r>
  </si>
  <si>
    <t xml:space="preserve">NFR-PF-FS-002</t>
  </si>
  <si>
    <r>
      <rPr>
        <sz val="9"/>
        <rFont val="DejaVu Sans"/>
        <family val="2"/>
      </rPr>
      <t xml:space="preserve">오프라인→온라인 전환 시 </t>
    </r>
    <r>
      <rPr>
        <sz val="9"/>
        <rFont val="맑은 고딕"/>
        <family val="0"/>
        <charset val="1"/>
      </rPr>
      <t xml:space="preserve">30</t>
    </r>
    <r>
      <rPr>
        <sz val="9"/>
        <rFont val="DejaVu Sans"/>
        <family val="2"/>
      </rPr>
      <t xml:space="preserve">초 내 동기화</t>
    </r>
  </si>
  <si>
    <r>
      <rPr>
        <sz val="9"/>
        <rFont val="DejaVu Sans"/>
        <family val="2"/>
      </rPr>
      <t xml:space="preserve">네트워크 복구 시 </t>
    </r>
    <r>
      <rPr>
        <sz val="9"/>
        <rFont val="맑은 고딕"/>
        <family val="0"/>
        <charset val="1"/>
      </rPr>
      <t xml:space="preserve">30</t>
    </r>
    <r>
      <rPr>
        <sz val="9"/>
        <rFont val="DejaVu Sans"/>
        <family val="2"/>
      </rPr>
      <t xml:space="preserve">초 이내에 미전송 데이터를 자동 동기화한다</t>
    </r>
  </si>
  <si>
    <t xml:space="preserve">NFR-PF-OM-001</t>
  </si>
  <si>
    <r>
      <rPr>
        <sz val="9"/>
        <rFont val="DejaVu Sans"/>
        <family val="2"/>
      </rPr>
      <t xml:space="preserve">최적절단 알고리즘 </t>
    </r>
    <r>
      <rPr>
        <sz val="9"/>
        <rFont val="맑은 고딕"/>
        <family val="0"/>
        <charset val="1"/>
      </rPr>
      <t xml:space="preserve">30</t>
    </r>
    <r>
      <rPr>
        <sz val="9"/>
        <rFont val="DejaVu Sans"/>
        <family val="2"/>
      </rPr>
      <t xml:space="preserve">초 이내 완료</t>
    </r>
  </si>
  <si>
    <r>
      <rPr>
        <sz val="9"/>
        <rFont val="맑은 고딕"/>
        <family val="0"/>
        <charset val="1"/>
      </rPr>
      <t xml:space="preserve">1,000</t>
    </r>
    <r>
      <rPr>
        <sz val="9"/>
        <rFont val="DejaVu Sans"/>
        <family val="2"/>
      </rPr>
      <t xml:space="preserve">개소 기준 최적절단 알고리즘 계산을 </t>
    </r>
    <r>
      <rPr>
        <sz val="9"/>
        <rFont val="맑은 고딕"/>
        <family val="0"/>
        <charset val="1"/>
      </rPr>
      <t xml:space="preserve">30</t>
    </r>
    <r>
      <rPr>
        <sz val="9"/>
        <rFont val="DejaVu Sans"/>
        <family val="2"/>
      </rPr>
      <t xml:space="preserve">초 이내에 완료한다</t>
    </r>
  </si>
  <si>
    <r>
      <rPr>
        <b val="true"/>
        <sz val="10"/>
        <color rgb="FF1F4E79"/>
        <rFont val="DejaVu Sans"/>
        <family val="2"/>
      </rPr>
      <t xml:space="preserve">사용성 </t>
    </r>
    <r>
      <rPr>
        <b val="true"/>
        <sz val="10"/>
        <color rgb="FF1F4E79"/>
        <rFont val="맑은 고딕"/>
        <family val="0"/>
        <charset val="1"/>
      </rPr>
      <t xml:space="preserve">(Usability) — 8</t>
    </r>
    <r>
      <rPr>
        <b val="true"/>
        <sz val="10"/>
        <color rgb="FF1F4E79"/>
        <rFont val="DejaVu Sans"/>
        <family val="2"/>
      </rPr>
      <t xml:space="preserve">건</t>
    </r>
  </si>
  <si>
    <t xml:space="preserve">NFR-US-CM-001</t>
  </si>
  <si>
    <t xml:space="preserve">사용성</t>
  </si>
  <si>
    <r>
      <rPr>
        <sz val="9"/>
        <rFont val="DejaVu Sans"/>
        <family val="2"/>
      </rPr>
      <t xml:space="preserve">현행 </t>
    </r>
    <r>
      <rPr>
        <sz val="9"/>
        <rFont val="맑은 고딕"/>
        <family val="0"/>
        <charset val="1"/>
      </rPr>
      <t xml:space="preserve">UI </t>
    </r>
    <r>
      <rPr>
        <sz val="9"/>
        <rFont val="DejaVu Sans"/>
        <family val="2"/>
      </rPr>
      <t xml:space="preserve">룩앤필 계승</t>
    </r>
  </si>
  <si>
    <r>
      <rPr>
        <sz val="9"/>
        <rFont val="DejaVu Sans"/>
        <family val="2"/>
      </rPr>
      <t xml:space="preserve">현행 </t>
    </r>
    <r>
      <rPr>
        <sz val="9"/>
        <rFont val="맑은 고딕"/>
        <family val="0"/>
        <charset val="1"/>
      </rPr>
      <t xml:space="preserve">WIMS</t>
    </r>
    <r>
      <rPr>
        <sz val="9"/>
        <rFont val="DejaVu Sans"/>
        <family val="2"/>
      </rPr>
      <t xml:space="preserve">의 </t>
    </r>
    <r>
      <rPr>
        <sz val="9"/>
        <rFont val="맑은 고딕"/>
        <family val="0"/>
        <charset val="1"/>
      </rPr>
      <t xml:space="preserve">UI </t>
    </r>
    <r>
      <rPr>
        <sz val="9"/>
        <rFont val="DejaVu Sans"/>
        <family val="2"/>
      </rPr>
      <t xml:space="preserve">패턴을 최대한 계승하여 이질감을 최소화한다</t>
    </r>
  </si>
  <si>
    <r>
      <rPr>
        <sz val="9"/>
        <rFont val="맑은 고딕"/>
        <family val="0"/>
        <charset val="1"/>
      </rPr>
      <t xml:space="preserve">AN11-2 </t>
    </r>
    <r>
      <rPr>
        <sz val="9"/>
        <rFont val="DejaVu Sans"/>
        <family val="2"/>
      </rPr>
      <t xml:space="preserve">도입우려</t>
    </r>
  </si>
  <si>
    <t xml:space="preserve">NFR-US-CM-002</t>
  </si>
  <si>
    <r>
      <rPr>
        <sz val="9"/>
        <rFont val="DejaVu Sans"/>
        <family val="2"/>
      </rPr>
      <t xml:space="preserve">멀티탭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멀티윈도우 지원</t>
    </r>
  </si>
  <si>
    <r>
      <rPr>
        <sz val="9"/>
        <rFont val="DejaVu Sans"/>
        <family val="2"/>
      </rPr>
      <t xml:space="preserve">여러 프로젝트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견적을 동시에 탭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윈도우로 열어 작업 가능</t>
    </r>
  </si>
  <si>
    <t xml:space="preserve">NFR-US-CM-003</t>
  </si>
  <si>
    <t xml:space="preserve">키보드 단축키 지원</t>
  </si>
  <si>
    <t xml:space="preserve">주요 기능에 대한 키보드 단축키를 제공한다</t>
  </si>
  <si>
    <t xml:space="preserve">NFR-US-CM-004</t>
  </si>
  <si>
    <t xml:space="preserve">반응형 레이아웃 지원</t>
  </si>
  <si>
    <t xml:space="preserve">다양한 화면 해상도에서 적절한 레이아웃을 제공한다</t>
  </si>
  <si>
    <t xml:space="preserve">NFR-US-FS-001</t>
  </si>
  <si>
    <r>
      <rPr>
        <sz val="9"/>
        <rFont val="DejaVu Sans"/>
        <family val="2"/>
      </rPr>
      <t xml:space="preserve">대형 버튼 및 터치 친화적 </t>
    </r>
    <r>
      <rPr>
        <sz val="9"/>
        <rFont val="맑은 고딕"/>
        <family val="0"/>
        <charset val="1"/>
      </rPr>
      <t xml:space="preserve">UI</t>
    </r>
  </si>
  <si>
    <r>
      <rPr>
        <sz val="9"/>
        <rFont val="DejaVu Sans"/>
        <family val="2"/>
      </rPr>
      <t xml:space="preserve">현장 환경을 고려한 대형 버튼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터치 친화적 모바일 </t>
    </r>
    <r>
      <rPr>
        <sz val="9"/>
        <rFont val="맑은 고딕"/>
        <family val="0"/>
        <charset val="1"/>
      </rPr>
      <t xml:space="preserve">UI</t>
    </r>
  </si>
  <si>
    <t xml:space="preserve">NFR-US-FS-002</t>
  </si>
  <si>
    <r>
      <rPr>
        <sz val="9"/>
        <rFont val="DejaVu Sans"/>
        <family val="2"/>
      </rPr>
      <t xml:space="preserve">고대비</t>
    </r>
    <r>
      <rPr>
        <sz val="9"/>
        <rFont val="맑은 고딕"/>
        <family val="0"/>
        <charset val="1"/>
      </rPr>
      <t xml:space="preserve">(High Contrast) </t>
    </r>
    <r>
      <rPr>
        <sz val="9"/>
        <rFont val="DejaVu Sans"/>
        <family val="2"/>
      </rPr>
      <t xml:space="preserve">모드</t>
    </r>
  </si>
  <si>
    <t xml:space="preserve">야외 환경에서도 가독성이 좋은 고대비 모드 제공</t>
  </si>
  <si>
    <t xml:space="preserve">NFR-US-CM-005</t>
  </si>
  <si>
    <t xml:space="preserve">사용자 교육 자료 및 도움말 제공</t>
  </si>
  <si>
    <t xml:space="preserve">신규 시스템에 대한 교육 자료 및 컨텍스트 도움말 제공</t>
  </si>
  <si>
    <t xml:space="preserve">NFR-US-ES-001</t>
  </si>
  <si>
    <r>
      <rPr>
        <sz val="9"/>
        <rFont val="DejaVu Sans"/>
        <family val="2"/>
      </rPr>
      <t xml:space="preserve">모바일 견적 조회 </t>
    </r>
    <r>
      <rPr>
        <sz val="9"/>
        <rFont val="맑은 고딕"/>
        <family val="0"/>
        <charset val="1"/>
      </rPr>
      <t xml:space="preserve">UI</t>
    </r>
  </si>
  <si>
    <r>
      <rPr>
        <sz val="9"/>
        <rFont val="DejaVu Sans"/>
        <family val="2"/>
      </rPr>
      <t xml:space="preserve">모바일 환경에서도 견적 정보를 조회할 수 있는 반응형 </t>
    </r>
    <r>
      <rPr>
        <sz val="9"/>
        <rFont val="맑은 고딕"/>
        <family val="0"/>
        <charset val="1"/>
      </rPr>
      <t xml:space="preserve">UI </t>
    </r>
    <r>
      <rPr>
        <sz val="9"/>
        <rFont val="DejaVu Sans"/>
        <family val="2"/>
      </rPr>
      <t xml:space="preserve">제공</t>
    </r>
  </si>
  <si>
    <r>
      <rPr>
        <b val="true"/>
        <sz val="10"/>
        <color rgb="FF1F4E79"/>
        <rFont val="DejaVu Sans"/>
        <family val="2"/>
      </rPr>
      <t xml:space="preserve">신뢰성 </t>
    </r>
    <r>
      <rPr>
        <b val="true"/>
        <sz val="10"/>
        <color rgb="FF1F4E79"/>
        <rFont val="맑은 고딕"/>
        <family val="0"/>
        <charset val="1"/>
      </rPr>
      <t xml:space="preserve">(Reliability) — 6</t>
    </r>
    <r>
      <rPr>
        <b val="true"/>
        <sz val="10"/>
        <color rgb="FF1F4E79"/>
        <rFont val="DejaVu Sans"/>
        <family val="2"/>
      </rPr>
      <t xml:space="preserve">건</t>
    </r>
  </si>
  <si>
    <t xml:space="preserve">NFR-RL-FS-001</t>
  </si>
  <si>
    <t xml:space="preserve">신뢰성</t>
  </si>
  <si>
    <t xml:space="preserve">오프라인 데이터 보관</t>
  </si>
  <si>
    <t xml:space="preserve">네트워크 미연결 시에도 측정 데이터를 안전하게 로컬 보관</t>
  </si>
  <si>
    <t xml:space="preserve">NFR-RL-FS-002</t>
  </si>
  <si>
    <t xml:space="preserve">자동 동기화 및 충돌 해결</t>
  </si>
  <si>
    <t xml:space="preserve">온라인 복귀 시 자동 동기화 및 데이터 충돌 시 해결 메커니즘 제공</t>
  </si>
  <si>
    <t xml:space="preserve">NFR-RL-FS-003</t>
  </si>
  <si>
    <t xml:space="preserve">동기화 충돌 해결 규칙</t>
  </si>
  <si>
    <t xml:space="preserve">동일 데이터 수정 충돌 시 타임스탬프 기반 해결 규칙 적용</t>
  </si>
  <si>
    <t xml:space="preserve">NFR-RL-CM-001</t>
  </si>
  <si>
    <t xml:space="preserve">장애 발생 시 즉시 복구</t>
  </si>
  <si>
    <t xml:space="preserve">서버 장애 발생 시 자동 재시작 및 서비스 복구</t>
  </si>
  <si>
    <t xml:space="preserve">NFR-RL-CM-002</t>
  </si>
  <si>
    <t xml:space="preserve">일일 백업 및 복원 절차</t>
  </si>
  <si>
    <t xml:space="preserve">매일 자동 백업 수행 및 복원 절차를 수립한다</t>
  </si>
  <si>
    <t xml:space="preserve">NFR-RL-FS-004</t>
  </si>
  <si>
    <r>
      <rPr>
        <sz val="9"/>
        <rFont val="맑은 고딕"/>
        <family val="0"/>
        <charset val="1"/>
      </rPr>
      <t xml:space="preserve">BLE </t>
    </r>
    <r>
      <rPr>
        <sz val="9"/>
        <rFont val="DejaVu Sans"/>
        <family val="2"/>
      </rPr>
      <t xml:space="preserve">연결 끊김 시 자동 재연결</t>
    </r>
  </si>
  <si>
    <r>
      <rPr>
        <sz val="9"/>
        <rFont val="맑은 고딕"/>
        <family val="0"/>
        <charset val="1"/>
      </rPr>
      <t xml:space="preserve">BLE </t>
    </r>
    <r>
      <rPr>
        <sz val="9"/>
        <rFont val="DejaVu Sans"/>
        <family val="2"/>
      </rPr>
      <t xml:space="preserve">연결이 끊어지면 자동으로 재연결을 시도한다</t>
    </r>
  </si>
  <si>
    <r>
      <rPr>
        <b val="true"/>
        <sz val="10"/>
        <color rgb="FF1F4E79"/>
        <rFont val="DejaVu Sans"/>
        <family val="2"/>
      </rPr>
      <t xml:space="preserve">인터페이스 </t>
    </r>
    <r>
      <rPr>
        <b val="true"/>
        <sz val="10"/>
        <color rgb="FF1F4E79"/>
        <rFont val="맑은 고딕"/>
        <family val="0"/>
        <charset val="1"/>
      </rPr>
      <t xml:space="preserve">(Interface) — 6</t>
    </r>
    <r>
      <rPr>
        <b val="true"/>
        <sz val="10"/>
        <color rgb="FF1F4E79"/>
        <rFont val="DejaVu Sans"/>
        <family val="2"/>
      </rPr>
      <t xml:space="preserve">건</t>
    </r>
  </si>
  <si>
    <t xml:space="preserve">NFR-IF-PM-001</t>
  </si>
  <si>
    <t xml:space="preserve">인터페이스</t>
  </si>
  <si>
    <r>
      <rPr>
        <sz val="9"/>
        <rFont val="맑은 고딕"/>
        <family val="0"/>
        <charset val="1"/>
      </rPr>
      <t xml:space="preserve">MES REST API </t>
    </r>
    <r>
      <rPr>
        <sz val="9"/>
        <rFont val="DejaVu Sans"/>
        <family val="2"/>
      </rPr>
      <t xml:space="preserve">규격 정의</t>
    </r>
  </si>
  <si>
    <r>
      <rPr>
        <sz val="9"/>
        <rFont val="맑은 고딕"/>
        <family val="0"/>
        <charset val="1"/>
      </rPr>
      <t xml:space="preserve">MES </t>
    </r>
    <r>
      <rPr>
        <sz val="9"/>
        <rFont val="DejaVu Sans"/>
        <family val="2"/>
      </rPr>
      <t xml:space="preserve">연동을 위한 </t>
    </r>
    <r>
      <rPr>
        <sz val="9"/>
        <rFont val="맑은 고딕"/>
        <family val="0"/>
        <charset val="1"/>
      </rPr>
      <t xml:space="preserve">REST API </t>
    </r>
    <r>
      <rPr>
        <sz val="9"/>
        <rFont val="DejaVu Sans"/>
        <family val="2"/>
      </rPr>
      <t xml:space="preserve">규격</t>
    </r>
    <r>
      <rPr>
        <sz val="9"/>
        <rFont val="맑은 고딕"/>
        <family val="0"/>
        <charset val="1"/>
      </rPr>
      <t xml:space="preserve">(</t>
    </r>
    <r>
      <rPr>
        <sz val="9"/>
        <rFont val="DejaVu Sans"/>
        <family val="2"/>
      </rPr>
      <t xml:space="preserve">엔드포인트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인증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데이터 형식</t>
    </r>
    <r>
      <rPr>
        <sz val="9"/>
        <rFont val="맑은 고딕"/>
        <family val="0"/>
        <charset val="1"/>
      </rPr>
      <t xml:space="preserve">)</t>
    </r>
    <r>
      <rPr>
        <sz val="9"/>
        <rFont val="DejaVu Sans"/>
        <family val="2"/>
      </rPr>
      <t xml:space="preserve">을 정의한다</t>
    </r>
  </si>
  <si>
    <r>
      <rPr>
        <sz val="9"/>
        <rFont val="DejaVu Sans"/>
        <family val="2"/>
      </rPr>
      <t xml:space="preserve">개발계획서 </t>
    </r>
    <r>
      <rPr>
        <sz val="9"/>
        <rFont val="맑은 고딕"/>
        <family val="0"/>
        <charset val="1"/>
      </rPr>
      <t xml:space="preserve">§4.2</t>
    </r>
  </si>
  <si>
    <t xml:space="preserve">NFR-IF-PM-002</t>
  </si>
  <si>
    <r>
      <rPr>
        <sz val="9"/>
        <rFont val="맑은 고딕"/>
        <family val="0"/>
        <charset val="1"/>
      </rPr>
      <t xml:space="preserve">API </t>
    </r>
    <r>
      <rPr>
        <sz val="9"/>
        <rFont val="DejaVu Sans"/>
        <family val="2"/>
      </rPr>
      <t xml:space="preserve">버전 관리 </t>
    </r>
    <r>
      <rPr>
        <sz val="9"/>
        <rFont val="맑은 고딕"/>
        <family val="0"/>
        <charset val="1"/>
      </rPr>
      <t xml:space="preserve">(Semantic Versioning)</t>
    </r>
  </si>
  <si>
    <r>
      <rPr>
        <sz val="9"/>
        <rFont val="맑은 고딕"/>
        <family val="0"/>
        <charset val="1"/>
      </rPr>
      <t xml:space="preserve">API </t>
    </r>
    <r>
      <rPr>
        <sz val="9"/>
        <rFont val="DejaVu Sans"/>
        <family val="2"/>
      </rPr>
      <t xml:space="preserve">변경 시 하위 호환성 유지 및 </t>
    </r>
    <r>
      <rPr>
        <sz val="9"/>
        <rFont val="맑은 고딕"/>
        <family val="0"/>
        <charset val="1"/>
      </rPr>
      <t xml:space="preserve">Semantic Versioning </t>
    </r>
    <r>
      <rPr>
        <sz val="9"/>
        <rFont val="DejaVu Sans"/>
        <family val="2"/>
      </rPr>
      <t xml:space="preserve">적용</t>
    </r>
  </si>
  <si>
    <t xml:space="preserve">NFR-IF-PM-003</t>
  </si>
  <si>
    <r>
      <rPr>
        <sz val="9"/>
        <rFont val="DejaVu Sans"/>
        <family val="2"/>
      </rPr>
      <t xml:space="preserve">데이터 캡슐화 </t>
    </r>
    <r>
      <rPr>
        <sz val="9"/>
        <rFont val="맑은 고딕"/>
        <family val="0"/>
        <charset val="1"/>
      </rPr>
      <t xml:space="preserve">(DTO </t>
    </r>
    <r>
      <rPr>
        <sz val="9"/>
        <rFont val="DejaVu Sans"/>
        <family val="2"/>
      </rPr>
      <t xml:space="preserve">기반 </t>
    </r>
    <r>
      <rPr>
        <sz val="9"/>
        <rFont val="맑은 고딕"/>
        <family val="0"/>
        <charset val="1"/>
      </rPr>
      <t xml:space="preserve">I/O)</t>
    </r>
  </si>
  <si>
    <r>
      <rPr>
        <sz val="9"/>
        <rFont val="맑은 고딕"/>
        <family val="0"/>
        <charset val="1"/>
      </rPr>
      <t xml:space="preserve">API </t>
    </r>
    <r>
      <rPr>
        <sz val="9"/>
        <rFont val="DejaVu Sans"/>
        <family val="2"/>
      </rPr>
      <t xml:space="preserve">입출력을 </t>
    </r>
    <r>
      <rPr>
        <sz val="9"/>
        <rFont val="맑은 고딕"/>
        <family val="0"/>
        <charset val="1"/>
      </rPr>
      <t xml:space="preserve">DTO </t>
    </r>
    <r>
      <rPr>
        <sz val="9"/>
        <rFont val="DejaVu Sans"/>
        <family val="2"/>
      </rPr>
      <t xml:space="preserve">기반으로 캡슐화하여 내부 구조 노출 방지</t>
    </r>
  </si>
  <si>
    <t xml:space="preserve">NFR-IF-FS-001</t>
  </si>
  <si>
    <r>
      <rPr>
        <sz val="9"/>
        <rFont val="맑은 고딕"/>
        <family val="0"/>
        <charset val="1"/>
      </rPr>
      <t xml:space="preserve">BLE GATT </t>
    </r>
    <r>
      <rPr>
        <sz val="9"/>
        <rFont val="DejaVu Sans"/>
        <family val="2"/>
      </rPr>
      <t xml:space="preserve">프로파일 규격 정의</t>
    </r>
  </si>
  <si>
    <r>
      <rPr>
        <sz val="9"/>
        <rFont val="맑은 고딕"/>
        <family val="0"/>
        <charset val="1"/>
      </rPr>
      <t xml:space="preserve">BLE </t>
    </r>
    <r>
      <rPr>
        <sz val="9"/>
        <rFont val="DejaVu Sans"/>
        <family val="2"/>
      </rPr>
      <t xml:space="preserve">장치 연동을 위한 </t>
    </r>
    <r>
      <rPr>
        <sz val="9"/>
        <rFont val="맑은 고딕"/>
        <family val="0"/>
        <charset val="1"/>
      </rPr>
      <t xml:space="preserve">GATT </t>
    </r>
    <r>
      <rPr>
        <sz val="9"/>
        <rFont val="DejaVu Sans"/>
        <family val="2"/>
      </rPr>
      <t xml:space="preserve">프로파일 및 프로토콜 규격을 정의한다</t>
    </r>
  </si>
  <si>
    <t xml:space="preserve">NFR-IF-FS-002</t>
  </si>
  <si>
    <r>
      <rPr>
        <sz val="9"/>
        <rFont val="DejaVu Sans"/>
        <family val="2"/>
      </rPr>
      <t xml:space="preserve">모바일 앱↔서버 </t>
    </r>
    <r>
      <rPr>
        <sz val="9"/>
        <rFont val="맑은 고딕"/>
        <family val="0"/>
        <charset val="1"/>
      </rPr>
      <t xml:space="preserve">REST API </t>
    </r>
    <r>
      <rPr>
        <sz val="9"/>
        <rFont val="DejaVu Sans"/>
        <family val="2"/>
      </rPr>
      <t xml:space="preserve">규격</t>
    </r>
  </si>
  <si>
    <r>
      <rPr>
        <sz val="9"/>
        <rFont val="DejaVu Sans"/>
        <family val="2"/>
      </rPr>
      <t xml:space="preserve">모바일 앱과 서버 간 </t>
    </r>
    <r>
      <rPr>
        <sz val="9"/>
        <rFont val="맑은 고딕"/>
        <family val="0"/>
        <charset val="1"/>
      </rPr>
      <t xml:space="preserve">REST API </t>
    </r>
    <r>
      <rPr>
        <sz val="9"/>
        <rFont val="DejaVu Sans"/>
        <family val="2"/>
      </rPr>
      <t xml:space="preserve">규격</t>
    </r>
    <r>
      <rPr>
        <sz val="9"/>
        <rFont val="맑은 고딕"/>
        <family val="0"/>
        <charset val="1"/>
      </rPr>
      <t xml:space="preserve">(</t>
    </r>
    <r>
      <rPr>
        <sz val="9"/>
        <rFont val="DejaVu Sans"/>
        <family val="2"/>
      </rPr>
      <t xml:space="preserve">인증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동기화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전송</t>
    </r>
    <r>
      <rPr>
        <sz val="9"/>
        <rFont val="맑은 고딕"/>
        <family val="0"/>
        <charset val="1"/>
      </rPr>
      <t xml:space="preserve">)</t>
    </r>
    <r>
      <rPr>
        <sz val="9"/>
        <rFont val="DejaVu Sans"/>
        <family val="2"/>
      </rPr>
      <t xml:space="preserve">을 정의한다</t>
    </r>
  </si>
  <si>
    <t xml:space="preserve">NFR-IF-CM-001</t>
  </si>
  <si>
    <r>
      <rPr>
        <sz val="9"/>
        <rFont val="DejaVu Sans"/>
        <family val="2"/>
      </rPr>
      <t xml:space="preserve">향후 </t>
    </r>
    <r>
      <rPr>
        <sz val="9"/>
        <rFont val="맑은 고딕"/>
        <family val="0"/>
        <charset val="1"/>
      </rPr>
      <t xml:space="preserve">ERP </t>
    </r>
    <r>
      <rPr>
        <sz val="9"/>
        <rFont val="DejaVu Sans"/>
        <family val="2"/>
      </rPr>
      <t xml:space="preserve">연동 확장 인터페이스 설계</t>
    </r>
  </si>
  <si>
    <r>
      <rPr>
        <sz val="9"/>
        <rFont val="DejaVu Sans"/>
        <family val="2"/>
      </rPr>
      <t xml:space="preserve">향후 </t>
    </r>
    <r>
      <rPr>
        <sz val="9"/>
        <rFont val="맑은 고딕"/>
        <family val="0"/>
        <charset val="1"/>
      </rPr>
      <t xml:space="preserve">ERP </t>
    </r>
    <r>
      <rPr>
        <sz val="9"/>
        <rFont val="DejaVu Sans"/>
        <family val="2"/>
      </rPr>
      <t xml:space="preserve">연동을 고려한 확장 가능한 인터페이스를 설계한다</t>
    </r>
  </si>
  <si>
    <r>
      <rPr>
        <b val="true"/>
        <sz val="10"/>
        <color rgb="FF1F4E79"/>
        <rFont val="DejaVu Sans"/>
        <family val="2"/>
      </rPr>
      <t xml:space="preserve">데이터 </t>
    </r>
    <r>
      <rPr>
        <b val="true"/>
        <sz val="10"/>
        <color rgb="FF1F4E79"/>
        <rFont val="맑은 고딕"/>
        <family val="0"/>
        <charset val="1"/>
      </rPr>
      <t xml:space="preserve">(Data) — 5</t>
    </r>
    <r>
      <rPr>
        <b val="true"/>
        <sz val="10"/>
        <color rgb="FF1F4E79"/>
        <rFont val="DejaVu Sans"/>
        <family val="2"/>
      </rPr>
      <t xml:space="preserve">건</t>
    </r>
  </si>
  <si>
    <t xml:space="preserve">NFR-DA-PM-001</t>
  </si>
  <si>
    <t xml:space="preserve">데이터</t>
  </si>
  <si>
    <t xml:space="preserve">현행 데이터 마이그레이션 계획 수립</t>
  </si>
  <si>
    <t xml:space="preserve">현행 시스템 데이터를 신규 시스템으로 안전하게 이관하는 계획을 수립한다</t>
  </si>
  <si>
    <t xml:space="preserve">NFR-DA-PM-002</t>
  </si>
  <si>
    <t xml:space="preserve">마이그레이션 데이터 검증 절차</t>
  </si>
  <si>
    <t xml:space="preserve">이관된 데이터의 정합성을 검증하는 절차를 수립하고 실행한다</t>
  </si>
  <si>
    <t xml:space="preserve">NFR-DA-PM-003</t>
  </si>
  <si>
    <t xml:space="preserve">코드 체계 표준화 매핑</t>
  </si>
  <si>
    <r>
      <rPr>
        <sz val="9"/>
        <rFont val="DejaVu Sans"/>
        <family val="2"/>
      </rPr>
      <t xml:space="preserve">기존 자재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제품 코드를 신규 코드 체계에 매핑한다</t>
    </r>
  </si>
  <si>
    <t xml:space="preserve">NFR-DA-CM-001</t>
  </si>
  <si>
    <r>
      <rPr>
        <sz val="9"/>
        <rFont val="DejaVu Sans"/>
        <family val="2"/>
      </rPr>
      <t xml:space="preserve">데이터 정합성 검증 </t>
    </r>
    <r>
      <rPr>
        <sz val="9"/>
        <rFont val="맑은 고딕"/>
        <family val="0"/>
        <charset val="1"/>
      </rPr>
      <t xml:space="preserve">(FK, </t>
    </r>
    <r>
      <rPr>
        <sz val="9"/>
        <rFont val="DejaVu Sans"/>
        <family val="2"/>
      </rPr>
      <t xml:space="preserve">제약조건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</si>
  <si>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DB </t>
    </r>
    <r>
      <rPr>
        <sz val="9"/>
        <rFont val="DejaVu Sans"/>
        <family val="2"/>
      </rPr>
      <t xml:space="preserve">외래키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제약조건으로 데이터 정합성을 보장한다</t>
    </r>
  </si>
  <si>
    <t xml:space="preserve">NFR-DA-CM-002</t>
  </si>
  <si>
    <t xml:space="preserve">병행운영 기간 데이터 동기화</t>
  </si>
  <si>
    <r>
      <rPr>
        <sz val="9"/>
        <rFont val="DejaVu Sans"/>
        <family val="2"/>
      </rPr>
      <t xml:space="preserve">신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구 시스템 병행운영 기간 중 데이터 동기화 방안을 수립한다</t>
    </r>
  </si>
  <si>
    <r>
      <rPr>
        <b val="true"/>
        <sz val="10"/>
        <color rgb="FF1F4E79"/>
        <rFont val="DejaVu Sans"/>
        <family val="2"/>
      </rPr>
      <t xml:space="preserve">이식성 </t>
    </r>
    <r>
      <rPr>
        <b val="true"/>
        <sz val="10"/>
        <color rgb="FF1F4E79"/>
        <rFont val="맑은 고딕"/>
        <family val="0"/>
        <charset val="1"/>
      </rPr>
      <t xml:space="preserve">(Portability) — 4</t>
    </r>
    <r>
      <rPr>
        <b val="true"/>
        <sz val="10"/>
        <color rgb="FF1F4E79"/>
        <rFont val="DejaVu Sans"/>
        <family val="2"/>
      </rPr>
      <t xml:space="preserve">건</t>
    </r>
  </si>
  <si>
    <t xml:space="preserve">NFR-PT-CM-001</t>
  </si>
  <si>
    <t xml:space="preserve">이식성</t>
  </si>
  <si>
    <t xml:space="preserve">크로스 브라우저 호환성</t>
  </si>
  <si>
    <r>
      <rPr>
        <sz val="9"/>
        <rFont val="맑은 고딕"/>
        <family val="0"/>
        <charset val="1"/>
      </rPr>
      <t xml:space="preserve">Chrome, Edge, Firefox </t>
    </r>
    <r>
      <rPr>
        <sz val="9"/>
        <rFont val="DejaVu Sans"/>
        <family val="2"/>
      </rPr>
      <t xml:space="preserve">최신 </t>
    </r>
    <r>
      <rPr>
        <sz val="9"/>
        <rFont val="맑은 고딕"/>
        <family val="0"/>
        <charset val="1"/>
      </rPr>
      <t xml:space="preserve">2</t>
    </r>
    <r>
      <rPr>
        <sz val="9"/>
        <rFont val="DejaVu Sans"/>
        <family val="2"/>
      </rPr>
      <t xml:space="preserve">개 버전에서 정상 동작을 보장한다</t>
    </r>
  </si>
  <si>
    <t xml:space="preserve">NFR-PT-FS-001</t>
  </si>
  <si>
    <r>
      <rPr>
        <sz val="9"/>
        <rFont val="맑은 고딕"/>
        <family val="0"/>
        <charset val="1"/>
      </rPr>
      <t xml:space="preserve">Android 10+(API 29) </t>
    </r>
    <r>
      <rPr>
        <sz val="9"/>
        <rFont val="DejaVu Sans"/>
        <family val="2"/>
      </rPr>
      <t xml:space="preserve">지원</t>
    </r>
  </si>
  <si>
    <r>
      <rPr>
        <sz val="9"/>
        <rFont val="맑은 고딕"/>
        <family val="0"/>
        <charset val="1"/>
      </rPr>
      <t xml:space="preserve">Android 10 </t>
    </r>
    <r>
      <rPr>
        <sz val="9"/>
        <rFont val="DejaVu Sans"/>
        <family val="2"/>
      </rPr>
      <t xml:space="preserve">이상 기기에서 앱 정상 동작을 보장한다</t>
    </r>
  </si>
  <si>
    <t xml:space="preserve">NFR-PT-FS-002</t>
  </si>
  <si>
    <r>
      <rPr>
        <sz val="9"/>
        <rFont val="맑은 고딕"/>
        <family val="0"/>
        <charset val="1"/>
      </rPr>
      <t xml:space="preserve">BLE 4.2+ </t>
    </r>
    <r>
      <rPr>
        <sz val="9"/>
        <rFont val="DejaVu Sans"/>
        <family val="2"/>
      </rPr>
      <t xml:space="preserve">장치 호환성</t>
    </r>
  </si>
  <si>
    <r>
      <rPr>
        <sz val="9"/>
        <rFont val="맑은 고딕"/>
        <family val="0"/>
        <charset val="1"/>
      </rPr>
      <t xml:space="preserve">BLE 4.2 </t>
    </r>
    <r>
      <rPr>
        <sz val="9"/>
        <rFont val="DejaVu Sans"/>
        <family val="2"/>
      </rPr>
      <t xml:space="preserve">이상 프로토콜 장치와의 호환성을 보장한다</t>
    </r>
  </si>
  <si>
    <t xml:space="preserve">NFR-PT-CM-002</t>
  </si>
  <si>
    <r>
      <rPr>
        <sz val="9"/>
        <rFont val="DejaVu Sans"/>
        <family val="2"/>
      </rPr>
      <t xml:space="preserve">반응형 해상도 지원 </t>
    </r>
    <r>
      <rPr>
        <sz val="9"/>
        <rFont val="맑은 고딕"/>
        <family val="0"/>
        <charset val="1"/>
      </rPr>
      <t xml:space="preserve">(1280px~)</t>
    </r>
  </si>
  <si>
    <r>
      <rPr>
        <sz val="9"/>
        <rFont val="맑은 고딕"/>
        <family val="0"/>
        <charset val="1"/>
      </rPr>
      <t xml:space="preserve">1280px </t>
    </r>
    <r>
      <rPr>
        <sz val="9"/>
        <rFont val="DejaVu Sans"/>
        <family val="2"/>
      </rPr>
      <t xml:space="preserve">이상 해상도에서 레이아웃이 정상 표시된다</t>
    </r>
  </si>
  <si>
    <r>
      <rPr>
        <b val="true"/>
        <sz val="10"/>
        <color rgb="FF1F4E79"/>
        <rFont val="DejaVu Sans"/>
        <family val="2"/>
      </rPr>
      <t xml:space="preserve">유지보수성 </t>
    </r>
    <r>
      <rPr>
        <b val="true"/>
        <sz val="10"/>
        <color rgb="FF1F4E79"/>
        <rFont val="맑은 고딕"/>
        <family val="0"/>
        <charset val="1"/>
      </rPr>
      <t xml:space="preserve">(Maintainability) — 4</t>
    </r>
    <r>
      <rPr>
        <b val="true"/>
        <sz val="10"/>
        <color rgb="FF1F4E79"/>
        <rFont val="DejaVu Sans"/>
        <family val="2"/>
      </rPr>
      <t xml:space="preserve">건</t>
    </r>
  </si>
  <si>
    <t xml:space="preserve">NFR-MT-CM-001</t>
  </si>
  <si>
    <t xml:space="preserve">유지보수성</t>
  </si>
  <si>
    <r>
      <rPr>
        <sz val="9"/>
        <rFont val="DejaVu Sans"/>
        <family val="2"/>
      </rPr>
      <t xml:space="preserve">시스템 로그 수집 </t>
    </r>
    <r>
      <rPr>
        <sz val="9"/>
        <rFont val="맑은 고딕"/>
        <family val="0"/>
        <charset val="1"/>
      </rPr>
      <t xml:space="preserve">(CloudWatch)</t>
    </r>
  </si>
  <si>
    <r>
      <rPr>
        <sz val="9"/>
        <rFont val="맑은 고딕"/>
        <family val="0"/>
        <charset val="1"/>
      </rPr>
      <t xml:space="preserve">AWS CloudWatch</t>
    </r>
    <r>
      <rPr>
        <sz val="9"/>
        <rFont val="DejaVu Sans"/>
        <family val="2"/>
      </rPr>
      <t xml:space="preserve">를 통해 시스템 로그를 수집하고 모니터링한다</t>
    </r>
  </si>
  <si>
    <t xml:space="preserve">NFR-MT-CM-002</t>
  </si>
  <si>
    <r>
      <rPr>
        <sz val="9"/>
        <rFont val="DejaVu Sans"/>
        <family val="2"/>
      </rPr>
      <t xml:space="preserve">변경 이력 감사 추적 </t>
    </r>
    <r>
      <rPr>
        <sz val="9"/>
        <rFont val="맑은 고딕"/>
        <family val="0"/>
        <charset val="1"/>
      </rPr>
      <t xml:space="preserve">(Audit Trail)</t>
    </r>
  </si>
  <si>
    <t xml:space="preserve">주요 데이터 변경에 대한 감사 추적 로그를 기록한다</t>
  </si>
  <si>
    <t xml:space="preserve">NFR-MT-CM-003</t>
  </si>
  <si>
    <r>
      <rPr>
        <sz val="9"/>
        <rFont val="맑은 고딕"/>
        <family val="0"/>
        <charset val="1"/>
      </rPr>
      <t xml:space="preserve">API </t>
    </r>
    <r>
      <rPr>
        <sz val="9"/>
        <rFont val="DejaVu Sans"/>
        <family val="2"/>
      </rPr>
      <t xml:space="preserve">문서 자동화 </t>
    </r>
    <r>
      <rPr>
        <sz val="9"/>
        <rFont val="맑은 고딕"/>
        <family val="0"/>
        <charset val="1"/>
      </rPr>
      <t xml:space="preserve">(Swagger/OpenAPI)</t>
    </r>
  </si>
  <si>
    <r>
      <rPr>
        <sz val="9"/>
        <rFont val="맑은 고딕"/>
        <family val="0"/>
        <charset val="1"/>
      </rPr>
      <t xml:space="preserve">Swagger/OpenAPI</t>
    </r>
    <r>
      <rPr>
        <sz val="9"/>
        <rFont val="DejaVu Sans"/>
        <family val="2"/>
      </rPr>
      <t xml:space="preserve">를 이용한 </t>
    </r>
    <r>
      <rPr>
        <sz val="9"/>
        <rFont val="맑은 고딕"/>
        <family val="0"/>
        <charset val="1"/>
      </rPr>
      <t xml:space="preserve">API </t>
    </r>
    <r>
      <rPr>
        <sz val="9"/>
        <rFont val="DejaVu Sans"/>
        <family val="2"/>
      </rPr>
      <t xml:space="preserve">문서 자동 생성</t>
    </r>
  </si>
  <si>
    <t xml:space="preserve">NFR-MT-CM-004</t>
  </si>
  <si>
    <t xml:space="preserve">코드 표준 및 코딩 컨벤션 준수</t>
  </si>
  <si>
    <r>
      <rPr>
        <sz val="9"/>
        <rFont val="DejaVu Sans"/>
        <family val="2"/>
      </rPr>
      <t xml:space="preserve">프론트엔드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백엔드 코딩 컨벤션을 수립하고 준수한다</t>
    </r>
  </si>
  <si>
    <r>
      <rPr>
        <b val="true"/>
        <sz val="14"/>
        <color rgb="FF1F4E79"/>
        <rFont val="맑은 고딕"/>
        <family val="0"/>
        <charset val="1"/>
      </rPr>
      <t xml:space="preserve">WIMS 2.0 </t>
    </r>
    <r>
      <rPr>
        <b val="true"/>
        <sz val="14"/>
        <color rgb="FF1F4E79"/>
        <rFont val="DejaVu Sans"/>
        <family val="2"/>
      </rPr>
      <t xml:space="preserve">요구사항 통계 요약</t>
    </r>
  </si>
  <si>
    <r>
      <rPr>
        <b val="true"/>
        <sz val="11"/>
        <color rgb="FF2E75B6"/>
        <rFont val="DejaVu Sans"/>
        <family val="2"/>
      </rPr>
      <t xml:space="preserve">■ 기능 요구사항 </t>
    </r>
    <r>
      <rPr>
        <b val="true"/>
        <sz val="11"/>
        <color rgb="FF2E75B6"/>
        <rFont val="맑은 고딕"/>
        <family val="0"/>
        <charset val="1"/>
      </rPr>
      <t xml:space="preserve">(</t>
    </r>
    <r>
      <rPr>
        <b val="true"/>
        <sz val="11"/>
        <color rgb="FF2E75B6"/>
        <rFont val="DejaVu Sans"/>
        <family val="2"/>
      </rPr>
      <t xml:space="preserve">서브시스템별</t>
    </r>
    <r>
      <rPr>
        <b val="true"/>
        <sz val="11"/>
        <color rgb="FF2E75B6"/>
        <rFont val="맑은 고딕"/>
        <family val="0"/>
        <charset val="1"/>
      </rPr>
      <t xml:space="preserve">)</t>
    </r>
  </si>
  <si>
    <t xml:space="preserve">코드</t>
  </si>
  <si>
    <t xml:space="preserve">건수</t>
  </si>
  <si>
    <t xml:space="preserve">최상 우선순위</t>
  </si>
  <si>
    <t xml:space="preserve">비고</t>
  </si>
  <si>
    <t xml:space="preserve">① 제품관리</t>
  </si>
  <si>
    <t xml:space="preserve">Phase 1</t>
  </si>
  <si>
    <r>
      <rPr>
        <sz val="9"/>
        <rFont val="맑은 고딕"/>
        <family val="0"/>
        <charset val="1"/>
      </rPr>
      <t xml:space="preserve">BOM, </t>
    </r>
    <r>
      <rPr>
        <sz val="9"/>
        <rFont val="DejaVu Sans"/>
        <family val="2"/>
      </rPr>
      <t xml:space="preserve">자재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공정</t>
    </r>
    <r>
      <rPr>
        <sz val="9"/>
        <rFont val="맑은 고딕"/>
        <family val="0"/>
        <charset val="1"/>
      </rPr>
      <t xml:space="preserve">, MES </t>
    </r>
    <r>
      <rPr>
        <sz val="9"/>
        <rFont val="DejaVu Sans"/>
        <family val="2"/>
      </rPr>
      <t xml:space="preserve">연동</t>
    </r>
  </si>
  <si>
    <t xml:space="preserve">② 견적설계</t>
  </si>
  <si>
    <t xml:space="preserve">Phase 2</t>
  </si>
  <si>
    <r>
      <rPr>
        <sz val="9"/>
        <rFont val="맑은 고딕"/>
        <family val="0"/>
        <charset val="1"/>
      </rPr>
      <t xml:space="preserve">CAD </t>
    </r>
    <r>
      <rPr>
        <sz val="9"/>
        <rFont val="DejaVu Sans"/>
        <family val="2"/>
      </rPr>
      <t xml:space="preserve">뷰어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견적 산출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실행 예산</t>
    </r>
  </si>
  <si>
    <t xml:space="preserve">③ 발주관리</t>
  </si>
  <si>
    <r>
      <rPr>
        <sz val="9"/>
        <rFont val="DejaVu Sans"/>
        <family val="2"/>
      </rPr>
      <t xml:space="preserve">계약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최적절단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발주서</t>
    </r>
  </si>
  <si>
    <t xml:space="preserve">④ 제조관리</t>
  </si>
  <si>
    <r>
      <rPr>
        <sz val="9"/>
        <rFont val="DejaVu Sans"/>
        <family val="2"/>
      </rPr>
      <t xml:space="preserve">제작도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절단지시서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추가발주</t>
    </r>
  </si>
  <si>
    <t xml:space="preserve">⑤ 현장실측</t>
  </si>
  <si>
    <r>
      <rPr>
        <sz val="9"/>
        <rFont val="맑은 고딕"/>
        <family val="0"/>
        <charset val="1"/>
      </rPr>
      <t xml:space="preserve">Android </t>
    </r>
    <r>
      <rPr>
        <sz val="9"/>
        <rFont val="DejaVu Sans"/>
        <family val="2"/>
      </rPr>
      <t xml:space="preserve">앱</t>
    </r>
    <r>
      <rPr>
        <sz val="9"/>
        <rFont val="맑은 고딕"/>
        <family val="0"/>
        <charset val="1"/>
      </rPr>
      <t xml:space="preserve">, BLE </t>
    </r>
    <r>
      <rPr>
        <sz val="9"/>
        <rFont val="DejaVu Sans"/>
        <family val="2"/>
      </rPr>
      <t xml:space="preserve">연동</t>
    </r>
  </si>
  <si>
    <t xml:space="preserve">공통</t>
  </si>
  <si>
    <r>
      <rPr>
        <sz val="9"/>
        <rFont val="DejaVu Sans"/>
        <family val="2"/>
      </rPr>
      <t xml:space="preserve">인증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권한</t>
    </r>
    <r>
      <rPr>
        <sz val="9"/>
        <rFont val="맑은 고딕"/>
        <family val="0"/>
        <charset val="1"/>
      </rPr>
      <t xml:space="preserve">, UI, </t>
    </r>
    <r>
      <rPr>
        <sz val="9"/>
        <rFont val="DejaVu Sans"/>
        <family val="2"/>
      </rPr>
      <t xml:space="preserve">오류수정</t>
    </r>
  </si>
  <si>
    <t xml:space="preserve">합계</t>
  </si>
  <si>
    <r>
      <rPr>
        <b val="true"/>
        <sz val="11"/>
        <color rgb="FF2E75B6"/>
        <rFont val="DejaVu Sans"/>
        <family val="2"/>
      </rPr>
      <t xml:space="preserve">■ 비기능 요구사항 </t>
    </r>
    <r>
      <rPr>
        <b val="true"/>
        <sz val="11"/>
        <color rgb="FF2E75B6"/>
        <rFont val="맑은 고딕"/>
        <family val="0"/>
        <charset val="1"/>
      </rPr>
      <t xml:space="preserve">(</t>
    </r>
    <r>
      <rPr>
        <b val="true"/>
        <sz val="11"/>
        <color rgb="FF2E75B6"/>
        <rFont val="DejaVu Sans"/>
        <family val="2"/>
      </rPr>
      <t xml:space="preserve">분류별</t>
    </r>
    <r>
      <rPr>
        <b val="true"/>
        <sz val="11"/>
        <color rgb="FF2E75B6"/>
        <rFont val="맑은 고딕"/>
        <family val="0"/>
        <charset val="1"/>
      </rPr>
      <t xml:space="preserve">)</t>
    </r>
  </si>
  <si>
    <t xml:space="preserve">NFR-SC</t>
  </si>
  <si>
    <t xml:space="preserve">NFR-PF</t>
  </si>
  <si>
    <t xml:space="preserve">NFR-US</t>
  </si>
  <si>
    <t xml:space="preserve">NFR-RL</t>
  </si>
  <si>
    <t xml:space="preserve">NFR-IF</t>
  </si>
  <si>
    <t xml:space="preserve">NFR-DA</t>
  </si>
  <si>
    <t xml:space="preserve">NFR-PT</t>
  </si>
  <si>
    <t xml:space="preserve">NFR-MT</t>
  </si>
  <si>
    <t xml:space="preserve">■ 전체 요구사항 총괄</t>
  </si>
  <si>
    <t xml:space="preserve">구분</t>
  </si>
  <si>
    <t xml:space="preserve">비율</t>
  </si>
  <si>
    <r>
      <rPr>
        <sz val="9"/>
        <rFont val="DejaVu Sans"/>
        <family val="2"/>
      </rPr>
      <t xml:space="preserve">기능 요구사항 </t>
    </r>
    <r>
      <rPr>
        <sz val="9"/>
        <rFont val="맑은 고딕"/>
        <family val="0"/>
        <charset val="1"/>
      </rPr>
      <t xml:space="preserve">(FR)</t>
    </r>
  </si>
  <si>
    <r>
      <rPr>
        <sz val="9"/>
        <rFont val="DejaVu Sans"/>
        <family val="2"/>
      </rPr>
      <t xml:space="preserve">비기능 요구사항 </t>
    </r>
    <r>
      <rPr>
        <sz val="9"/>
        <rFont val="맑은 고딕"/>
        <family val="0"/>
        <charset val="1"/>
      </rPr>
      <t xml:space="preserve">(NFR)</t>
    </r>
  </si>
  <si>
    <t xml:space="preserve">현행 사이트맵 ↔ 요구사항 매핑표</t>
  </si>
  <si>
    <r>
      <rPr>
        <sz val="9"/>
        <color rgb="FF666666"/>
        <rFont val="DejaVu Sans"/>
        <family val="2"/>
      </rPr>
      <t xml:space="preserve">사이트맵</t>
    </r>
    <r>
      <rPr>
        <sz val="9"/>
        <color rgb="FF666666"/>
        <rFont val="맑은 고딕"/>
        <family val="0"/>
        <charset val="1"/>
      </rPr>
      <t xml:space="preserve">(AN21 v1.3) </t>
    </r>
    <r>
      <rPr>
        <sz val="9"/>
        <color rgb="FF666666"/>
        <rFont val="DejaVu Sans"/>
        <family val="2"/>
      </rPr>
      <t xml:space="preserve">코멘트 기반  </t>
    </r>
    <r>
      <rPr>
        <sz val="9"/>
        <color rgb="FF666666"/>
        <rFont val="맑은 고딕"/>
        <family val="0"/>
        <charset val="1"/>
      </rPr>
      <t xml:space="preserve">|  </t>
    </r>
    <r>
      <rPr>
        <sz val="9"/>
        <color rgb="FF666666"/>
        <rFont val="DejaVu Sans"/>
        <family val="2"/>
      </rPr>
      <t xml:space="preserve">현행 화면과 요구사항 </t>
    </r>
    <r>
      <rPr>
        <sz val="9"/>
        <color rgb="FF666666"/>
        <rFont val="맑은 고딕"/>
        <family val="0"/>
        <charset val="1"/>
      </rPr>
      <t xml:space="preserve">ID </t>
    </r>
    <r>
      <rPr>
        <sz val="9"/>
        <color rgb="FF666666"/>
        <rFont val="DejaVu Sans"/>
        <family val="2"/>
      </rPr>
      <t xml:space="preserve">간 추적성 확보</t>
    </r>
  </si>
  <si>
    <r>
      <rPr>
        <b val="true"/>
        <sz val="10"/>
        <color rgb="FFFFFFFF"/>
        <rFont val="맑은 고딕"/>
        <family val="0"/>
        <charset val="1"/>
      </rPr>
      <t xml:space="preserve">GNB </t>
    </r>
    <r>
      <rPr>
        <b val="true"/>
        <sz val="10"/>
        <color rgb="FFFFFFFF"/>
        <rFont val="DejaVu Sans"/>
        <family val="2"/>
      </rPr>
      <t xml:space="preserve">메뉴</t>
    </r>
  </si>
  <si>
    <r>
      <rPr>
        <b val="true"/>
        <sz val="10"/>
        <color rgb="FFFFFFFF"/>
        <rFont val="DejaVu Sans"/>
        <family val="2"/>
      </rPr>
      <t xml:space="preserve">서브탭</t>
    </r>
    <r>
      <rPr>
        <b val="true"/>
        <sz val="10"/>
        <color rgb="FFFFFFFF"/>
        <rFont val="맑은 고딕"/>
        <family val="0"/>
        <charset val="1"/>
      </rPr>
      <t xml:space="preserve">/</t>
    </r>
    <r>
      <rPr>
        <b val="true"/>
        <sz val="10"/>
        <color rgb="FFFFFFFF"/>
        <rFont val="DejaVu Sans"/>
        <family val="2"/>
      </rPr>
      <t xml:space="preserve">페이지</t>
    </r>
  </si>
  <si>
    <t xml:space="preserve">현행 경로</t>
  </si>
  <si>
    <r>
      <rPr>
        <b val="true"/>
        <sz val="10"/>
        <color rgb="FFFFFFFF"/>
        <rFont val="DejaVu Sans"/>
        <family val="2"/>
      </rPr>
      <t xml:space="preserve">관련 요구사항 </t>
    </r>
    <r>
      <rPr>
        <b val="true"/>
        <sz val="10"/>
        <color rgb="FFFFFFFF"/>
        <rFont val="맑은 고딕"/>
        <family val="0"/>
        <charset val="1"/>
      </rPr>
      <t xml:space="preserve">ID</t>
    </r>
  </si>
  <si>
    <t xml:space="preserve">사이트맵 설명</t>
  </si>
  <si>
    <t xml:space="preserve">로그인</t>
  </si>
  <si>
    <t xml:space="preserve">-</t>
  </si>
  <si>
    <t xml:space="preserve">/signIn</t>
  </si>
  <si>
    <t xml:space="preserve">FR-CM-001, NFR-SC-CM-001</t>
  </si>
  <si>
    <t xml:space="preserve">사용자가 시스템에 로그인하기 위한 페이지</t>
  </si>
  <si>
    <r>
      <rPr>
        <sz val="9"/>
        <rFont val="맑은 고딕"/>
        <family val="0"/>
        <charset val="1"/>
      </rPr>
      <t xml:space="preserve">JWT </t>
    </r>
    <r>
      <rPr>
        <sz val="9"/>
        <rFont val="DejaVu Sans"/>
        <family val="2"/>
      </rPr>
      <t xml:space="preserve">인증</t>
    </r>
  </si>
  <si>
    <t xml:space="preserve">회원가입</t>
  </si>
  <si>
    <t xml:space="preserve">/join</t>
  </si>
  <si>
    <t xml:space="preserve">현재 사용하지 않는 회원가입 페이지</t>
  </si>
  <si>
    <t xml:space="preserve">미사용</t>
  </si>
  <si>
    <t xml:space="preserve">프로젝트관리</t>
  </si>
  <si>
    <t xml:space="preserve">전체 프로젝트</t>
  </si>
  <si>
    <t xml:space="preserve">/pages/project</t>
  </si>
  <si>
    <t xml:space="preserve">PM+ES</t>
  </si>
  <si>
    <t xml:space="preserve">등록된 전체 프로젝트를 목록으로 조회하고 관리</t>
  </si>
  <si>
    <t xml:space="preserve">내 프로젝트</t>
  </si>
  <si>
    <t xml:space="preserve">/pages/project/my</t>
  </si>
  <si>
    <t xml:space="preserve">내가 생성한 프로젝트만 모아 확인</t>
  </si>
  <si>
    <t xml:space="preserve">관심 프로젝트</t>
  </si>
  <si>
    <t xml:space="preserve">/pages/project/favorite</t>
  </si>
  <si>
    <t xml:space="preserve">관심 표시한 프로젝트만 모아 확인</t>
  </si>
  <si>
    <t xml:space="preserve">종료 프로젝트</t>
  </si>
  <si>
    <t xml:space="preserve">/pages/project/completed</t>
  </si>
  <si>
    <t xml:space="preserve">종료 처리된 프로젝트만 모아 확인</t>
  </si>
  <si>
    <t xml:space="preserve">프로젝트 상세</t>
  </si>
  <si>
    <t xml:space="preserve">/:projectNo</t>
  </si>
  <si>
    <t xml:space="preserve">FR-ES-003, FR-ES-005</t>
  </si>
  <si>
    <t xml:space="preserve">선택한 프로젝트의 상세 정보를 확인</t>
  </si>
  <si>
    <t xml:space="preserve">├ 기본정보</t>
  </si>
  <si>
    <r>
      <rPr>
        <sz val="9"/>
        <rFont val="맑은 고딕"/>
        <family val="0"/>
        <charset val="1"/>
      </rPr>
      <t xml:space="preserve">(</t>
    </r>
    <r>
      <rPr>
        <sz val="9"/>
        <rFont val="DejaVu Sans"/>
        <family val="2"/>
      </rPr>
      <t xml:space="preserve">기본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</si>
  <si>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DejaVu Sans"/>
        <family val="2"/>
      </rPr>
      <t xml:space="preserve">현장주소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발주처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설계사무소 등 기본 정보 입력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수정</t>
    </r>
  </si>
  <si>
    <t xml:space="preserve">├ 체크리스트</t>
  </si>
  <si>
    <t xml:space="preserve">/checklist</t>
  </si>
  <si>
    <t xml:space="preserve">해당 프로젝트의 확인 항목 체크리스트 관리</t>
  </si>
  <si>
    <t xml:space="preserve">├ 파일관리</t>
  </si>
  <si>
    <t xml:space="preserve">/files</t>
  </si>
  <si>
    <t xml:space="preserve">일람표 및 관련 자료 파일을 업로드하고 관리</t>
  </si>
  <si>
    <r>
      <rPr>
        <sz val="9"/>
        <rFont val="맑은 고딕"/>
        <family val="0"/>
        <charset val="1"/>
      </rPr>
      <t xml:space="preserve">CAD </t>
    </r>
    <r>
      <rPr>
        <sz val="9"/>
        <rFont val="DejaVu Sans"/>
        <family val="2"/>
      </rPr>
      <t xml:space="preserve">업로드</t>
    </r>
  </si>
  <si>
    <t xml:space="preserve">├ 견적</t>
  </si>
  <si>
    <t xml:space="preserve">/estimate</t>
  </si>
  <si>
    <t xml:space="preserve">FR-ES-005~021</t>
  </si>
  <si>
    <r>
      <rPr>
        <sz val="9"/>
        <rFont val="맑은 고딕"/>
        <family val="0"/>
        <charset val="1"/>
      </rPr>
      <t xml:space="preserve">CAD </t>
    </r>
    <r>
      <rPr>
        <sz val="9"/>
        <rFont val="DejaVu Sans"/>
        <family val="2"/>
      </rPr>
      <t xml:space="preserve">자료를 바탕으로 견적 설계 진행</t>
    </r>
  </si>
  <si>
    <t xml:space="preserve">핵심 기능</t>
  </si>
  <si>
    <t xml:space="preserve">├ 발주</t>
  </si>
  <si>
    <t xml:space="preserve">/orderForm</t>
  </si>
  <si>
    <t xml:space="preserve">FR-OM-004~008</t>
  </si>
  <si>
    <t xml:space="preserve">원자재 단위의 필요 자재 수량 확인</t>
  </si>
  <si>
    <t xml:space="preserve">└ 실행예산</t>
  </si>
  <si>
    <t xml:space="preserve">/calculate</t>
  </si>
  <si>
    <t xml:space="preserve">FR-ES-018, FR-ES-020</t>
  </si>
  <si>
    <t xml:space="preserve">원자재 및 부자재 원가 비용 확인</t>
  </si>
  <si>
    <t xml:space="preserve">원자재 목록</t>
  </si>
  <si>
    <t xml:space="preserve">/pages/material/raw</t>
  </si>
  <si>
    <t xml:space="preserve">FR-PM-001~005</t>
  </si>
  <si>
    <t xml:space="preserve">원자재와 부자재를 등록하고 목록으로 관리</t>
  </si>
  <si>
    <t xml:space="preserve">└ 원자재 상세</t>
  </si>
  <si>
    <t xml:space="preserve">/raw/:materialNo</t>
  </si>
  <si>
    <t xml:space="preserve">FR-PM-001~003, FR-PM-007</t>
  </si>
  <si>
    <r>
      <rPr>
        <sz val="9"/>
        <rFont val="DejaVu Sans"/>
        <family val="2"/>
      </rPr>
      <t xml:space="preserve">원자재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부자재의 규격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거래처 등 정보 입력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수정</t>
    </r>
  </si>
  <si>
    <t xml:space="preserve">구성원자재 목록</t>
  </si>
  <si>
    <t xml:space="preserve">/pages/material/group</t>
  </si>
  <si>
    <t xml:space="preserve">FR-PM-010, FR-PM-011</t>
  </si>
  <si>
    <t xml:space="preserve">제품 관리에 사용할 원자재 그룹 관리</t>
  </si>
  <si>
    <r>
      <rPr>
        <sz val="9"/>
        <rFont val="맑은 고딕"/>
        <family val="0"/>
        <charset val="1"/>
      </rPr>
      <t xml:space="preserve">BOM </t>
    </r>
    <r>
      <rPr>
        <sz val="9"/>
        <rFont val="DejaVu Sans"/>
        <family val="2"/>
      </rPr>
      <t xml:space="preserve">관련</t>
    </r>
  </si>
  <si>
    <t xml:space="preserve">└ 구성원자재 상세</t>
  </si>
  <si>
    <t xml:space="preserve">/group/:groupMaterialNo</t>
  </si>
  <si>
    <r>
      <rPr>
        <sz val="9"/>
        <rFont val="DejaVu Sans"/>
        <family val="2"/>
      </rPr>
      <t xml:space="preserve">동일 위치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길이로 절단되는 자재 묶음 관리</t>
    </r>
  </si>
  <si>
    <r>
      <rPr>
        <sz val="9"/>
        <rFont val="맑은 고딕"/>
        <family val="0"/>
        <charset val="1"/>
      </rPr>
      <t xml:space="preserve">BOM </t>
    </r>
    <r>
      <rPr>
        <sz val="9"/>
        <rFont val="DejaVu Sans"/>
        <family val="2"/>
      </rPr>
      <t xml:space="preserve">구성</t>
    </r>
  </si>
  <si>
    <t xml:space="preserve">판매 제품 목록</t>
  </si>
  <si>
    <t xml:space="preserve">/pages/product/sales</t>
  </si>
  <si>
    <t xml:space="preserve">FR-PM-014~016</t>
  </si>
  <si>
    <r>
      <rPr>
        <sz val="9"/>
        <rFont val="DejaVu Sans"/>
        <family val="2"/>
      </rPr>
      <t xml:space="preserve">제품 등록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제품명과 코드명 정보 확인</t>
    </r>
  </si>
  <si>
    <t xml:space="preserve">├ 판매 제품 상세</t>
  </si>
  <si>
    <t xml:space="preserve">/sales/:productNo</t>
  </si>
  <si>
    <t xml:space="preserve">FR-PM-010~012, FR-PM-016</t>
  </si>
  <si>
    <r>
      <rPr>
        <sz val="9"/>
        <rFont val="DejaVu Sans"/>
        <family val="2"/>
      </rPr>
      <t xml:space="preserve">그룹원자재 추가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제외로 설계용 자재 구성 관리</t>
    </r>
  </si>
  <si>
    <r>
      <rPr>
        <sz val="9"/>
        <rFont val="맑은 고딕"/>
        <family val="0"/>
        <charset val="1"/>
      </rPr>
      <t xml:space="preserve">BOM </t>
    </r>
    <r>
      <rPr>
        <sz val="9"/>
        <rFont val="DejaVu Sans"/>
        <family val="2"/>
      </rPr>
      <t xml:space="preserve">트리뷰</t>
    </r>
  </si>
  <si>
    <r>
      <rPr>
        <sz val="9"/>
        <rFont val="DejaVu Sans"/>
        <family val="2"/>
      </rPr>
      <t xml:space="preserve">└ 제작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시공비 설정</t>
    </r>
  </si>
  <si>
    <t xml:space="preserve">/sales/cost</t>
  </si>
  <si>
    <r>
      <rPr>
        <sz val="9"/>
        <rFont val="DejaVu Sans"/>
        <family val="2"/>
      </rPr>
      <t xml:space="preserve">제작비와 시공비 계산에 필요한 단가 입력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관리</t>
    </r>
  </si>
  <si>
    <t xml:space="preserve">순번 목록</t>
  </si>
  <si>
    <t xml:space="preserve">/pages/product/sequence</t>
  </si>
  <si>
    <r>
      <rPr>
        <sz val="9"/>
        <rFont val="맑은 고딕"/>
        <family val="0"/>
        <charset val="1"/>
      </rPr>
      <t xml:space="preserve">(</t>
    </r>
    <r>
      <rPr>
        <sz val="9"/>
        <rFont val="DejaVu Sans"/>
        <family val="2"/>
      </rPr>
      <t xml:space="preserve">사이트맵 설명 미기재</t>
    </r>
    <r>
      <rPr>
        <sz val="9"/>
        <rFont val="맑은 고딕"/>
        <family val="0"/>
        <charset val="1"/>
      </rPr>
      <t xml:space="preserve">)</t>
    </r>
  </si>
  <si>
    <t xml:space="preserve">확인필요</t>
  </si>
  <si>
    <t xml:space="preserve">└ 순번 상세</t>
  </si>
  <si>
    <t xml:space="preserve">/sequence/:productNo</t>
  </si>
  <si>
    <t xml:space="preserve">견적설계 메인</t>
  </si>
  <si>
    <t xml:space="preserve">/pages/estimate/:estimateNo</t>
  </si>
  <si>
    <t xml:space="preserve">FR-ES-005~007</t>
  </si>
  <si>
    <r>
      <rPr>
        <sz val="9"/>
        <rFont val="DejaVu Sans"/>
        <family val="2"/>
      </rPr>
      <t xml:space="preserve">설계 대상 선택 및 제품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중량화 항목 설정</t>
    </r>
  </si>
  <si>
    <t xml:space="preserve">설정</t>
  </si>
  <si>
    <t xml:space="preserve">/config/:productNo</t>
  </si>
  <si>
    <t xml:space="preserve">FR-ES-005, FR-ES-011</t>
  </si>
  <si>
    <t xml:space="preserve">계산</t>
  </si>
  <si>
    <t xml:space="preserve">/calculation</t>
  </si>
  <si>
    <t xml:space="preserve">FR-ES-006~010, FR-ES-013</t>
  </si>
  <si>
    <t xml:space="preserve">예산</t>
  </si>
  <si>
    <t xml:space="preserve">/budget/:budgetNo</t>
  </si>
  <si>
    <t xml:space="preserve">FR-ES-017, FR-ES-020</t>
  </si>
  <si>
    <t xml:space="preserve">견적 대비 실제 실행 비율 확인</t>
  </si>
  <si>
    <t xml:space="preserve">실행율</t>
  </si>
  <si>
    <t xml:space="preserve">실행</t>
  </si>
  <si>
    <t xml:space="preserve">/execution</t>
  </si>
  <si>
    <t xml:space="preserve">/estimateForm</t>
  </si>
  <si>
    <t xml:space="preserve">FR-ES-016, FR-ES-019</t>
  </si>
  <si>
    <r>
      <rPr>
        <sz val="9"/>
        <rFont val="DejaVu Sans"/>
        <family val="2"/>
      </rPr>
      <t xml:space="preserve">제품 단위 금액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제작공차 조정 후 견적 내역서 출력</t>
    </r>
  </si>
  <si>
    <t xml:space="preserve">└ 견적서 상세</t>
  </si>
  <si>
    <t xml:space="preserve">/estimateForm/:identificationNo</t>
  </si>
  <si>
    <t xml:space="preserve">FR-ES-015, FR-ES-019</t>
  </si>
  <si>
    <t xml:space="preserve">주문서</t>
  </si>
  <si>
    <t xml:space="preserve">/pages/contract/dashboard</t>
  </si>
  <si>
    <t xml:space="preserve">계약현황 목록</t>
  </si>
  <si>
    <t xml:space="preserve">/pages/contract/list</t>
  </si>
  <si>
    <t xml:space="preserve">FR-OM-001, FR-OM-003</t>
  </si>
  <si>
    <t xml:space="preserve">계약 상세</t>
  </si>
  <si>
    <t xml:space="preserve">/contract/detail/:estimateNo</t>
  </si>
  <si>
    <t xml:space="preserve">FR-OM-001~003</t>
  </si>
  <si>
    <t xml:space="preserve">발주 리스트</t>
  </si>
  <si>
    <t xml:space="preserve">/pages/order/list</t>
  </si>
  <si>
    <t xml:space="preserve">FR-OM-006, FR-OM-007</t>
  </si>
  <si>
    <t xml:space="preserve">발주 현황</t>
  </si>
  <si>
    <t xml:space="preserve">/pages/orderstatus</t>
  </si>
  <si>
    <t xml:space="preserve">발주서 관리</t>
  </si>
  <si>
    <t xml:space="preserve">발주서 목록</t>
  </si>
  <si>
    <t xml:space="preserve">/pages/orderForm/:orderNo</t>
  </si>
  <si>
    <t xml:space="preserve">발주서 상세</t>
  </si>
  <si>
    <t xml:space="preserve">/:orderNo/details/:orderFormNo</t>
  </si>
  <si>
    <t xml:space="preserve">재고 현황</t>
  </si>
  <si>
    <t xml:space="preserve">/:orderNo/stock</t>
  </si>
  <si>
    <t xml:space="preserve">별도비 시트</t>
  </si>
  <si>
    <t xml:space="preserve">/pages/calculate/.../extra</t>
  </si>
  <si>
    <t xml:space="preserve">사전에 확정하기 어려운 비용 항목 별도 입력</t>
  </si>
  <si>
    <t xml:space="preserve">제작비 시트</t>
  </si>
  <si>
    <t xml:space="preserve">/.../manufacture</t>
  </si>
  <si>
    <t xml:space="preserve">특정 알고리즘에 따라 산정되는 제작 비용 확인</t>
  </si>
  <si>
    <t xml:space="preserve">시공비 시트</t>
  </si>
  <si>
    <t xml:space="preserve">/.../construction</t>
  </si>
  <si>
    <t xml:space="preserve">특정 알고리즘에 따라 산정되는 시공 비용 확인</t>
  </si>
  <si>
    <t xml:space="preserve">수수료 시트</t>
  </si>
  <si>
    <t xml:space="preserve">/.../commission</t>
  </si>
  <si>
    <r>
      <rPr>
        <sz val="9"/>
        <rFont val="DejaVu Sans"/>
        <family val="2"/>
      </rPr>
      <t xml:space="preserve">영업담당자 수수료를 알고리즘에 따라 계산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확인</t>
    </r>
  </si>
  <si>
    <t xml:space="preserve">거래처관리</t>
  </si>
  <si>
    <t xml:space="preserve">원자재 거래처 목록</t>
  </si>
  <si>
    <t xml:space="preserve">/pages/partners/material</t>
  </si>
  <si>
    <t xml:space="preserve">FR-PM-003, FR-OM-006</t>
  </si>
  <si>
    <t xml:space="preserve">원자재 거래처 등록 및 공정 확인</t>
  </si>
  <si>
    <t xml:space="preserve">└ 거래처 상세</t>
  </si>
  <si>
    <t xml:space="preserve">/material/:partnerNo</t>
  </si>
  <si>
    <r>
      <rPr>
        <sz val="9"/>
        <rFont val="DejaVu Sans"/>
        <family val="2"/>
      </rPr>
      <t xml:space="preserve">거래처 기본정보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공정 단가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원자재별 단가 관리</t>
    </r>
  </si>
  <si>
    <t xml:space="preserve">비밀번호 변경</t>
  </si>
  <si>
    <t xml:space="preserve">/pages/system/user/password</t>
  </si>
  <si>
    <t xml:space="preserve">현재 사용자의 비밀번호 변경</t>
  </si>
  <si>
    <t xml:space="preserve">사용자 관리</t>
  </si>
  <si>
    <t xml:space="preserve">/pages/system/user/users</t>
  </si>
  <si>
    <t xml:space="preserve">FR-CM-002, FR-CM-004</t>
  </si>
  <si>
    <r>
      <rPr>
        <sz val="9"/>
        <rFont val="DejaVu Sans"/>
        <family val="2"/>
      </rPr>
      <t xml:space="preserve">시스템 사용자 등록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권한 변경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정보 수정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삭제</t>
    </r>
  </si>
  <si>
    <t xml:space="preserve">사용자 상세</t>
  </si>
  <si>
    <t xml:space="preserve">/system/user/:userNo</t>
  </si>
  <si>
    <r>
      <rPr>
        <sz val="9"/>
        <rFont val="DejaVu Sans"/>
        <family val="2"/>
      </rPr>
      <t xml:space="preserve">사용자 이름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연락처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이메일 등 기본 정보 확인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수정</t>
    </r>
  </si>
  <si>
    <t xml:space="preserve">그룹 관리</t>
  </si>
  <si>
    <t xml:space="preserve">/pages/system/user/group</t>
  </si>
  <si>
    <t xml:space="preserve">사용자별 소속 팀 확인 및 변경</t>
  </si>
  <si>
    <t xml:space="preserve">도면 뷰어</t>
  </si>
  <si>
    <t xml:space="preserve">도면 선택기</t>
  </si>
  <si>
    <t xml:space="preserve">/viewer/.../selector</t>
  </si>
  <si>
    <t xml:space="preserve">FR-ES-001, FR-ES-004</t>
  </si>
  <si>
    <r>
      <rPr>
        <sz val="9"/>
        <rFont val="맑은 고딕"/>
        <family val="0"/>
        <charset val="1"/>
      </rPr>
      <t xml:space="preserve">CAD </t>
    </r>
    <r>
      <rPr>
        <sz val="9"/>
        <rFont val="DejaVu Sans"/>
        <family val="2"/>
      </rPr>
      <t xml:space="preserve">뷰어</t>
    </r>
  </si>
  <si>
    <t xml:space="preserve">섹션 뷰어</t>
  </si>
  <si>
    <t xml:space="preserve">/viewer/.../section/:sectionNo</t>
  </si>
  <si>
    <t xml:space="preserve">FR-ES-002, FR-ES-006</t>
  </si>
  <si>
    <t xml:space="preserve">도면세트 선택기</t>
  </si>
  <si>
    <t xml:space="preserve">/viewer/blueprintset/:ebNo/selector</t>
  </si>
  <si>
    <t xml:space="preserve">문서 출력</t>
  </si>
  <si>
    <t xml:space="preserve">식별번호표</t>
  </si>
  <si>
    <t xml:space="preserve">/estimate/:estimateNo/identification</t>
  </si>
  <si>
    <t xml:space="preserve">FR-ES-019, FR-ES-021</t>
  </si>
  <si>
    <t xml:space="preserve">환산표</t>
  </si>
  <si>
    <t xml:space="preserve">/estimate/:estimateNo/exchange/:productNo</t>
  </si>
  <si>
    <t xml:space="preserve">중량표</t>
  </si>
  <si>
    <t xml:space="preserve">/estimate/:estimateNo/weight</t>
  </si>
  <si>
    <t xml:space="preserve">발주 설정</t>
  </si>
  <si>
    <t xml:space="preserve">섹션 목록</t>
  </si>
  <si>
    <t xml:space="preserve">/project/:projectNo/order/:orderNo</t>
  </si>
  <si>
    <t xml:space="preserve">코팅 설정</t>
  </si>
  <si>
    <t xml:space="preserve">/.../coat</t>
  </si>
  <si>
    <t xml:space="preserve">절단 계획</t>
  </si>
  <si>
    <t xml:space="preserve">/.../cutting</t>
  </si>
  <si>
    <t xml:space="preserve">FR-OM-004, FR-OM-005</t>
  </si>
  <si>
    <t xml:space="preserve">최적절단</t>
  </si>
  <si>
    <t xml:space="preserve">공정 설정</t>
  </si>
  <si>
    <t xml:space="preserve">/.../process</t>
  </si>
  <si>
    <t xml:space="preserve">널링지시서</t>
  </si>
  <si>
    <t xml:space="preserve">재고 사용</t>
  </si>
  <si>
    <t xml:space="preserve">/.../stock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</si>
</sst>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맑은 고딕"/>
      <family val="0"/>
      <charset val="1"/>
    </font>
    <font>
      <b val="true"/>
      <sz val="14"/>
      <color rgb="FF1F4E79"/>
      <name val="DejaVu Sans"/>
      <family val="2"/>
    </font>
    <font>
      <sz val="9"/>
      <color rgb="FF666666"/>
      <name val="DejaVu Sans"/>
      <family val="2"/>
    </font>
    <font>
      <sz val="9"/>
      <color rgb="FF666666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b val="true"/>
      <sz val="10"/>
      <color rgb="FFFFFFFF"/>
      <name val="DejaVu Sans"/>
      <family val="2"/>
    </font>
    <font>
      <b val="true"/>
      <sz val="10"/>
      <color rgb="FF1F4E79"/>
      <name val="DejaVu Sans"/>
      <family val="2"/>
    </font>
    <font>
      <b val="true"/>
      <sz val="10"/>
      <color rgb="FF1F4E79"/>
      <name val="맑은 고딕"/>
      <family val="0"/>
      <charset val="1"/>
    </font>
    <font>
      <sz val="9"/>
      <name val="맑은 고딕"/>
      <family val="0"/>
      <charset val="1"/>
    </font>
    <font>
      <sz val="9"/>
      <name val="DejaVu Sans"/>
      <family val="2"/>
    </font>
    <font>
      <b val="true"/>
      <sz val="9"/>
      <color rgb="FFCC0000"/>
      <name val="DejaVu Sans"/>
      <family val="2"/>
    </font>
    <font>
      <b val="true"/>
      <sz val="11"/>
      <color rgb="FF2E75B6"/>
      <name val="DejaVu Sans"/>
      <family val="2"/>
    </font>
    <font>
      <b val="true"/>
      <sz val="11"/>
      <color rgb="FF2E75B6"/>
      <name val="맑은 고딕"/>
      <family val="0"/>
      <charset val="1"/>
    </font>
    <font>
      <b val="true"/>
      <sz val="9"/>
      <name val="DejaVu Sans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CE4D6"/>
        <bgColor rgb="FFF8D7DA"/>
      </patternFill>
    </fill>
    <fill>
      <patternFill patternType="solid">
        <fgColor rgb="FFF2F7FB"/>
        <bgColor rgb="FFFFFFFF"/>
      </patternFill>
    </fill>
    <fill>
      <patternFill patternType="solid">
        <fgColor rgb="FFFFF2CC"/>
        <bgColor rgb="FFFCE4D6"/>
      </patternFill>
    </fill>
    <fill>
      <patternFill patternType="solid">
        <fgColor rgb="FFF8D7DA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9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F2F7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CC0000"/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F2F7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8D7DA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50"/>
    <col collapsed="false" customWidth="true" hidden="false" outlineLevel="0" max="7" min="7" style="0" width="20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25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0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3" t="s">
        <v>11</v>
      </c>
      <c r="K4" s="4" t="s">
        <v>12</v>
      </c>
      <c r="L4" s="4" t="s">
        <v>13</v>
      </c>
    </row>
    <row r="5" customFormat="false" ht="21.75" hidden="false" customHeight="true" outlineLevel="0" collapsed="false">
      <c r="A5" s="5" t="s">
        <v>14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customFormat="false" ht="15" hidden="false" customHeight="false" outlineLevel="0" collapsed="false">
      <c r="A6" s="6" t="n">
        <v>1</v>
      </c>
      <c r="B6" s="6" t="s">
        <v>15</v>
      </c>
      <c r="C6" s="6" t="s">
        <v>16</v>
      </c>
      <c r="D6" s="7" t="s">
        <v>17</v>
      </c>
      <c r="E6" s="8" t="s">
        <v>18</v>
      </c>
      <c r="F6" s="8" t="s">
        <v>19</v>
      </c>
      <c r="G6" s="8" t="s">
        <v>20</v>
      </c>
      <c r="H6" s="9" t="s">
        <v>21</v>
      </c>
      <c r="I6" s="7" t="s">
        <v>22</v>
      </c>
      <c r="J6" s="6" t="s">
        <v>23</v>
      </c>
      <c r="K6" s="10" t="s">
        <v>24</v>
      </c>
      <c r="L6" s="11" t="s">
        <v>25</v>
      </c>
    </row>
    <row r="7" customFormat="false" ht="15" hidden="false" customHeight="false" outlineLevel="0" collapsed="false">
      <c r="A7" s="12" t="n">
        <v>2</v>
      </c>
      <c r="B7" s="12" t="s">
        <v>26</v>
      </c>
      <c r="C7" s="12" t="s">
        <v>16</v>
      </c>
      <c r="D7" s="13" t="s">
        <v>17</v>
      </c>
      <c r="E7" s="14" t="s">
        <v>27</v>
      </c>
      <c r="F7" s="14" t="s">
        <v>28</v>
      </c>
      <c r="G7" s="14" t="s">
        <v>29</v>
      </c>
      <c r="H7" s="9" t="s">
        <v>21</v>
      </c>
      <c r="I7" s="13" t="s">
        <v>22</v>
      </c>
      <c r="J7" s="12" t="s">
        <v>23</v>
      </c>
      <c r="K7" s="10" t="s">
        <v>24</v>
      </c>
      <c r="L7" s="15" t="s">
        <v>25</v>
      </c>
    </row>
    <row r="8" customFormat="false" ht="15" hidden="false" customHeight="false" outlineLevel="0" collapsed="false">
      <c r="A8" s="6" t="n">
        <v>3</v>
      </c>
      <c r="B8" s="6" t="s">
        <v>30</v>
      </c>
      <c r="C8" s="6" t="s">
        <v>16</v>
      </c>
      <c r="D8" s="7" t="s">
        <v>17</v>
      </c>
      <c r="E8" s="8" t="s">
        <v>31</v>
      </c>
      <c r="F8" s="8" t="s">
        <v>32</v>
      </c>
      <c r="G8" s="8" t="s">
        <v>33</v>
      </c>
      <c r="H8" s="16" t="s">
        <v>34</v>
      </c>
      <c r="I8" s="7" t="s">
        <v>22</v>
      </c>
      <c r="J8" s="6" t="s">
        <v>23</v>
      </c>
      <c r="K8" s="10" t="s">
        <v>24</v>
      </c>
      <c r="L8" s="8" t="s">
        <v>35</v>
      </c>
    </row>
    <row r="9" customFormat="false" ht="15" hidden="false" customHeight="false" outlineLevel="0" collapsed="false">
      <c r="A9" s="12" t="n">
        <v>4</v>
      </c>
      <c r="B9" s="12" t="s">
        <v>36</v>
      </c>
      <c r="C9" s="12" t="s">
        <v>16</v>
      </c>
      <c r="D9" s="13" t="s">
        <v>17</v>
      </c>
      <c r="E9" s="14" t="s">
        <v>37</v>
      </c>
      <c r="F9" s="14" t="s">
        <v>38</v>
      </c>
      <c r="G9" s="14" t="s">
        <v>39</v>
      </c>
      <c r="H9" s="16" t="s">
        <v>34</v>
      </c>
      <c r="I9" s="13" t="s">
        <v>22</v>
      </c>
      <c r="J9" s="12" t="s">
        <v>23</v>
      </c>
      <c r="K9" s="10" t="s">
        <v>24</v>
      </c>
      <c r="L9" s="15" t="s">
        <v>40</v>
      </c>
    </row>
    <row r="10" customFormat="false" ht="15" hidden="false" customHeight="false" outlineLevel="0" collapsed="false">
      <c r="A10" s="6" t="n">
        <v>5</v>
      </c>
      <c r="B10" s="6" t="s">
        <v>41</v>
      </c>
      <c r="C10" s="6" t="s">
        <v>16</v>
      </c>
      <c r="D10" s="7" t="s">
        <v>17</v>
      </c>
      <c r="E10" s="8" t="s">
        <v>42</v>
      </c>
      <c r="F10" s="8" t="s">
        <v>43</v>
      </c>
      <c r="G10" s="8" t="s">
        <v>39</v>
      </c>
      <c r="H10" s="9" t="s">
        <v>21</v>
      </c>
      <c r="I10" s="7" t="s">
        <v>22</v>
      </c>
      <c r="J10" s="6" t="s">
        <v>23</v>
      </c>
      <c r="K10" s="7" t="s">
        <v>34</v>
      </c>
      <c r="L10" s="11" t="s">
        <v>44</v>
      </c>
    </row>
    <row r="11" customFormat="false" ht="15" hidden="false" customHeight="false" outlineLevel="0" collapsed="false">
      <c r="A11" s="12" t="n">
        <v>6</v>
      </c>
      <c r="B11" s="12" t="s">
        <v>45</v>
      </c>
      <c r="C11" s="12" t="s">
        <v>16</v>
      </c>
      <c r="D11" s="13" t="s">
        <v>17</v>
      </c>
      <c r="E11" s="14" t="s">
        <v>46</v>
      </c>
      <c r="F11" s="15" t="s">
        <v>47</v>
      </c>
      <c r="G11" s="14" t="s">
        <v>48</v>
      </c>
      <c r="H11" s="16" t="s">
        <v>34</v>
      </c>
      <c r="I11" s="13" t="s">
        <v>22</v>
      </c>
      <c r="J11" s="12" t="s">
        <v>23</v>
      </c>
      <c r="K11" s="10" t="s">
        <v>24</v>
      </c>
      <c r="L11" s="15" t="s">
        <v>49</v>
      </c>
    </row>
    <row r="12" customFormat="false" ht="15" hidden="false" customHeight="false" outlineLevel="0" collapsed="false">
      <c r="A12" s="6" t="n">
        <v>7</v>
      </c>
      <c r="B12" s="6" t="s">
        <v>50</v>
      </c>
      <c r="C12" s="6" t="s">
        <v>16</v>
      </c>
      <c r="D12" s="7" t="s">
        <v>17</v>
      </c>
      <c r="E12" s="8" t="s">
        <v>51</v>
      </c>
      <c r="F12" s="8" t="s">
        <v>52</v>
      </c>
      <c r="G12" s="8" t="s">
        <v>33</v>
      </c>
      <c r="H12" s="16" t="s">
        <v>34</v>
      </c>
      <c r="I12" s="7" t="s">
        <v>53</v>
      </c>
      <c r="J12" s="6" t="s">
        <v>23</v>
      </c>
      <c r="K12" s="7" t="s">
        <v>34</v>
      </c>
      <c r="L12" s="11" t="s">
        <v>54</v>
      </c>
    </row>
    <row r="13" customFormat="false" ht="15" hidden="false" customHeight="false" outlineLevel="0" collapsed="false">
      <c r="A13" s="12" t="n">
        <v>8</v>
      </c>
      <c r="B13" s="12" t="s">
        <v>55</v>
      </c>
      <c r="C13" s="12" t="s">
        <v>16</v>
      </c>
      <c r="D13" s="13" t="s">
        <v>56</v>
      </c>
      <c r="E13" s="14" t="s">
        <v>57</v>
      </c>
      <c r="F13" s="14" t="s">
        <v>58</v>
      </c>
      <c r="G13" s="14" t="s">
        <v>59</v>
      </c>
      <c r="H13" s="16" t="s">
        <v>34</v>
      </c>
      <c r="I13" s="13" t="s">
        <v>22</v>
      </c>
      <c r="J13" s="12" t="s">
        <v>23</v>
      </c>
      <c r="K13" s="10" t="s">
        <v>24</v>
      </c>
      <c r="L13" s="14" t="s">
        <v>35</v>
      </c>
    </row>
    <row r="14" customFormat="false" ht="15" hidden="false" customHeight="false" outlineLevel="0" collapsed="false">
      <c r="A14" s="6" t="n">
        <v>9</v>
      </c>
      <c r="B14" s="6" t="s">
        <v>60</v>
      </c>
      <c r="C14" s="6" t="s">
        <v>16</v>
      </c>
      <c r="D14" s="7" t="s">
        <v>56</v>
      </c>
      <c r="E14" s="8" t="s">
        <v>61</v>
      </c>
      <c r="F14" s="8" t="s">
        <v>62</v>
      </c>
      <c r="G14" s="8" t="s">
        <v>59</v>
      </c>
      <c r="H14" s="16" t="s">
        <v>34</v>
      </c>
      <c r="I14" s="7" t="s">
        <v>22</v>
      </c>
      <c r="J14" s="6" t="s">
        <v>23</v>
      </c>
      <c r="K14" s="10" t="s">
        <v>24</v>
      </c>
      <c r="L14" s="8" t="s">
        <v>35</v>
      </c>
    </row>
    <row r="15" customFormat="false" ht="15" hidden="false" customHeight="false" outlineLevel="0" collapsed="false">
      <c r="A15" s="12" t="n">
        <v>10</v>
      </c>
      <c r="B15" s="12" t="s">
        <v>63</v>
      </c>
      <c r="C15" s="12" t="s">
        <v>16</v>
      </c>
      <c r="D15" s="12" t="s">
        <v>64</v>
      </c>
      <c r="E15" s="14" t="s">
        <v>65</v>
      </c>
      <c r="F15" s="14" t="s">
        <v>66</v>
      </c>
      <c r="G15" s="14" t="s">
        <v>67</v>
      </c>
      <c r="H15" s="10" t="s">
        <v>24</v>
      </c>
      <c r="I15" s="13" t="s">
        <v>22</v>
      </c>
      <c r="J15" s="12" t="s">
        <v>23</v>
      </c>
      <c r="K15" s="17" t="s">
        <v>68</v>
      </c>
      <c r="L15" s="14" t="s">
        <v>35</v>
      </c>
    </row>
    <row r="16" customFormat="false" ht="15" hidden="false" customHeight="false" outlineLevel="0" collapsed="false">
      <c r="A16" s="6" t="n">
        <v>11</v>
      </c>
      <c r="B16" s="6" t="s">
        <v>69</v>
      </c>
      <c r="C16" s="6" t="s">
        <v>16</v>
      </c>
      <c r="D16" s="6" t="s">
        <v>64</v>
      </c>
      <c r="E16" s="11" t="s">
        <v>70</v>
      </c>
      <c r="F16" s="11" t="s">
        <v>71</v>
      </c>
      <c r="G16" s="8" t="s">
        <v>67</v>
      </c>
      <c r="H16" s="10" t="s">
        <v>24</v>
      </c>
      <c r="I16" s="7" t="s">
        <v>22</v>
      </c>
      <c r="J16" s="6" t="s">
        <v>23</v>
      </c>
      <c r="K16" s="10" t="s">
        <v>24</v>
      </c>
      <c r="L16" s="8" t="s">
        <v>35</v>
      </c>
    </row>
    <row r="17" customFormat="false" ht="15" hidden="false" customHeight="false" outlineLevel="0" collapsed="false">
      <c r="A17" s="12" t="n">
        <v>12</v>
      </c>
      <c r="B17" s="12" t="s">
        <v>72</v>
      </c>
      <c r="C17" s="12" t="s">
        <v>16</v>
      </c>
      <c r="D17" s="12" t="s">
        <v>64</v>
      </c>
      <c r="E17" s="15" t="s">
        <v>73</v>
      </c>
      <c r="F17" s="15" t="s">
        <v>74</v>
      </c>
      <c r="G17" s="14" t="s">
        <v>67</v>
      </c>
      <c r="H17" s="16" t="s">
        <v>34</v>
      </c>
      <c r="I17" s="13" t="s">
        <v>22</v>
      </c>
      <c r="J17" s="12" t="s">
        <v>23</v>
      </c>
      <c r="K17" s="10" t="s">
        <v>24</v>
      </c>
      <c r="L17" s="14" t="s">
        <v>35</v>
      </c>
    </row>
    <row r="18" customFormat="false" ht="15" hidden="false" customHeight="false" outlineLevel="0" collapsed="false">
      <c r="A18" s="6" t="n">
        <v>13</v>
      </c>
      <c r="B18" s="6" t="s">
        <v>75</v>
      </c>
      <c r="C18" s="6" t="s">
        <v>16</v>
      </c>
      <c r="D18" s="6" t="s">
        <v>76</v>
      </c>
      <c r="E18" s="11" t="s">
        <v>77</v>
      </c>
      <c r="F18" s="11" t="s">
        <v>78</v>
      </c>
      <c r="G18" s="11" t="s">
        <v>79</v>
      </c>
      <c r="H18" s="10" t="s">
        <v>24</v>
      </c>
      <c r="I18" s="7" t="s">
        <v>22</v>
      </c>
      <c r="J18" s="6" t="s">
        <v>23</v>
      </c>
      <c r="K18" s="17" t="s">
        <v>68</v>
      </c>
      <c r="L18" s="8" t="s">
        <v>80</v>
      </c>
    </row>
    <row r="19" customFormat="false" ht="15" hidden="false" customHeight="false" outlineLevel="0" collapsed="false">
      <c r="A19" s="12" t="n">
        <v>14</v>
      </c>
      <c r="B19" s="12" t="s">
        <v>81</v>
      </c>
      <c r="C19" s="12" t="s">
        <v>16</v>
      </c>
      <c r="D19" s="13" t="s">
        <v>82</v>
      </c>
      <c r="E19" s="14" t="s">
        <v>83</v>
      </c>
      <c r="F19" s="14" t="s">
        <v>84</v>
      </c>
      <c r="G19" s="14" t="s">
        <v>85</v>
      </c>
      <c r="H19" s="9" t="s">
        <v>21</v>
      </c>
      <c r="I19" s="13" t="s">
        <v>22</v>
      </c>
      <c r="J19" s="12" t="s">
        <v>23</v>
      </c>
      <c r="K19" s="10" t="s">
        <v>24</v>
      </c>
      <c r="L19" s="14" t="s">
        <v>35</v>
      </c>
    </row>
    <row r="20" customFormat="false" ht="15" hidden="false" customHeight="false" outlineLevel="0" collapsed="false">
      <c r="A20" s="6" t="n">
        <v>15</v>
      </c>
      <c r="B20" s="6" t="s">
        <v>86</v>
      </c>
      <c r="C20" s="6" t="s">
        <v>16</v>
      </c>
      <c r="D20" s="7" t="s">
        <v>82</v>
      </c>
      <c r="E20" s="8" t="s">
        <v>87</v>
      </c>
      <c r="F20" s="8" t="s">
        <v>88</v>
      </c>
      <c r="G20" s="8" t="s">
        <v>85</v>
      </c>
      <c r="H20" s="9" t="s">
        <v>21</v>
      </c>
      <c r="I20" s="7" t="s">
        <v>22</v>
      </c>
      <c r="J20" s="6" t="s">
        <v>23</v>
      </c>
      <c r="K20" s="10" t="s">
        <v>24</v>
      </c>
      <c r="L20" s="8" t="s">
        <v>35</v>
      </c>
    </row>
    <row r="21" customFormat="false" ht="15" hidden="false" customHeight="false" outlineLevel="0" collapsed="false">
      <c r="A21" s="12" t="n">
        <v>16</v>
      </c>
      <c r="B21" s="12" t="s">
        <v>89</v>
      </c>
      <c r="C21" s="12" t="s">
        <v>16</v>
      </c>
      <c r="D21" s="13" t="s">
        <v>82</v>
      </c>
      <c r="E21" s="14" t="s">
        <v>90</v>
      </c>
      <c r="F21" s="14" t="s">
        <v>91</v>
      </c>
      <c r="G21" s="14" t="s">
        <v>67</v>
      </c>
      <c r="H21" s="9" t="s">
        <v>21</v>
      </c>
      <c r="I21" s="13" t="s">
        <v>22</v>
      </c>
      <c r="J21" s="12" t="s">
        <v>23</v>
      </c>
      <c r="K21" s="13" t="s">
        <v>34</v>
      </c>
      <c r="L21" s="14" t="s">
        <v>35</v>
      </c>
    </row>
    <row r="22" customFormat="false" ht="21.75" hidden="false" customHeight="true" outlineLevel="0" collapsed="false">
      <c r="A22" s="5" t="s">
        <v>92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customFormat="false" ht="15" hidden="false" customHeight="false" outlineLevel="0" collapsed="false">
      <c r="A23" s="6" t="n">
        <v>17</v>
      </c>
      <c r="B23" s="6" t="s">
        <v>93</v>
      </c>
      <c r="C23" s="6" t="s">
        <v>94</v>
      </c>
      <c r="D23" s="7" t="s">
        <v>95</v>
      </c>
      <c r="E23" s="11" t="s">
        <v>96</v>
      </c>
      <c r="F23" s="11" t="s">
        <v>97</v>
      </c>
      <c r="G23" s="8" t="s">
        <v>98</v>
      </c>
      <c r="H23" s="10" t="s">
        <v>24</v>
      </c>
      <c r="I23" s="7" t="s">
        <v>22</v>
      </c>
      <c r="J23" s="6" t="s">
        <v>99</v>
      </c>
      <c r="K23" s="17" t="s">
        <v>68</v>
      </c>
      <c r="L23" s="11" t="s">
        <v>100</v>
      </c>
    </row>
    <row r="24" customFormat="false" ht="15" hidden="false" customHeight="false" outlineLevel="0" collapsed="false">
      <c r="A24" s="12" t="n">
        <v>18</v>
      </c>
      <c r="B24" s="12" t="s">
        <v>101</v>
      </c>
      <c r="C24" s="12" t="s">
        <v>94</v>
      </c>
      <c r="D24" s="13" t="s">
        <v>95</v>
      </c>
      <c r="E24" s="14" t="s">
        <v>102</v>
      </c>
      <c r="F24" s="14" t="s">
        <v>103</v>
      </c>
      <c r="G24" s="14" t="s">
        <v>104</v>
      </c>
      <c r="H24" s="16" t="s">
        <v>34</v>
      </c>
      <c r="I24" s="13" t="s">
        <v>22</v>
      </c>
      <c r="J24" s="12" t="s">
        <v>99</v>
      </c>
      <c r="K24" s="10" t="s">
        <v>24</v>
      </c>
      <c r="L24" s="15" t="s">
        <v>105</v>
      </c>
    </row>
    <row r="25" customFormat="false" ht="22.35" hidden="false" customHeight="false" outlineLevel="0" collapsed="false">
      <c r="A25" s="6" t="n">
        <v>19</v>
      </c>
      <c r="B25" s="6" t="s">
        <v>106</v>
      </c>
      <c r="C25" s="6" t="s">
        <v>94</v>
      </c>
      <c r="D25" s="7" t="s">
        <v>107</v>
      </c>
      <c r="E25" s="8" t="s">
        <v>108</v>
      </c>
      <c r="F25" s="8" t="s">
        <v>109</v>
      </c>
      <c r="G25" s="8" t="s">
        <v>110</v>
      </c>
      <c r="H25" s="16" t="s">
        <v>34</v>
      </c>
      <c r="I25" s="7" t="s">
        <v>22</v>
      </c>
      <c r="J25" s="6" t="s">
        <v>99</v>
      </c>
      <c r="K25" s="10" t="s">
        <v>24</v>
      </c>
      <c r="L25" s="8" t="s">
        <v>111</v>
      </c>
    </row>
    <row r="26" customFormat="false" ht="15" hidden="false" customHeight="false" outlineLevel="0" collapsed="false">
      <c r="A26" s="12" t="n">
        <v>20</v>
      </c>
      <c r="B26" s="12" t="s">
        <v>112</v>
      </c>
      <c r="C26" s="12" t="s">
        <v>94</v>
      </c>
      <c r="D26" s="13" t="s">
        <v>95</v>
      </c>
      <c r="E26" s="15" t="s">
        <v>113</v>
      </c>
      <c r="F26" s="15" t="s">
        <v>114</v>
      </c>
      <c r="G26" s="14" t="s">
        <v>115</v>
      </c>
      <c r="H26" s="10" t="s">
        <v>24</v>
      </c>
      <c r="I26" s="13" t="s">
        <v>22</v>
      </c>
      <c r="J26" s="12" t="s">
        <v>99</v>
      </c>
      <c r="K26" s="17" t="s">
        <v>68</v>
      </c>
      <c r="L26" s="15" t="s">
        <v>116</v>
      </c>
    </row>
    <row r="27" customFormat="false" ht="15" hidden="false" customHeight="false" outlineLevel="0" collapsed="false">
      <c r="A27" s="6" t="n">
        <v>21</v>
      </c>
      <c r="B27" s="6" t="s">
        <v>117</v>
      </c>
      <c r="C27" s="6" t="s">
        <v>94</v>
      </c>
      <c r="D27" s="7" t="s">
        <v>118</v>
      </c>
      <c r="E27" s="8" t="s">
        <v>119</v>
      </c>
      <c r="F27" s="8" t="s">
        <v>120</v>
      </c>
      <c r="G27" s="8" t="s">
        <v>121</v>
      </c>
      <c r="H27" s="16" t="s">
        <v>34</v>
      </c>
      <c r="I27" s="7" t="s">
        <v>22</v>
      </c>
      <c r="J27" s="6" t="s">
        <v>99</v>
      </c>
      <c r="K27" s="10" t="s">
        <v>24</v>
      </c>
      <c r="L27" s="8" t="s">
        <v>111</v>
      </c>
    </row>
    <row r="28" customFormat="false" ht="15" hidden="false" customHeight="false" outlineLevel="0" collapsed="false">
      <c r="A28" s="12" t="n">
        <v>22</v>
      </c>
      <c r="B28" s="12" t="s">
        <v>122</v>
      </c>
      <c r="C28" s="12" t="s">
        <v>94</v>
      </c>
      <c r="D28" s="13" t="s">
        <v>118</v>
      </c>
      <c r="E28" s="14" t="s">
        <v>123</v>
      </c>
      <c r="F28" s="14" t="s">
        <v>124</v>
      </c>
      <c r="G28" s="14" t="s">
        <v>125</v>
      </c>
      <c r="H28" s="16" t="s">
        <v>34</v>
      </c>
      <c r="I28" s="13" t="s">
        <v>22</v>
      </c>
      <c r="J28" s="12" t="s">
        <v>99</v>
      </c>
      <c r="K28" s="10" t="s">
        <v>24</v>
      </c>
      <c r="L28" s="14" t="s">
        <v>111</v>
      </c>
    </row>
    <row r="29" customFormat="false" ht="15" hidden="false" customHeight="false" outlineLevel="0" collapsed="false">
      <c r="A29" s="6" t="n">
        <v>23</v>
      </c>
      <c r="B29" s="6" t="s">
        <v>126</v>
      </c>
      <c r="C29" s="6" t="s">
        <v>94</v>
      </c>
      <c r="D29" s="7" t="s">
        <v>118</v>
      </c>
      <c r="E29" s="8" t="s">
        <v>127</v>
      </c>
      <c r="F29" s="8" t="s">
        <v>128</v>
      </c>
      <c r="G29" s="8" t="s">
        <v>125</v>
      </c>
      <c r="H29" s="10" t="s">
        <v>24</v>
      </c>
      <c r="I29" s="7" t="s">
        <v>22</v>
      </c>
      <c r="J29" s="6" t="s">
        <v>99</v>
      </c>
      <c r="K29" s="17" t="s">
        <v>68</v>
      </c>
      <c r="L29" s="8" t="s">
        <v>129</v>
      </c>
    </row>
    <row r="30" customFormat="false" ht="15" hidden="false" customHeight="false" outlineLevel="0" collapsed="false">
      <c r="A30" s="12" t="n">
        <v>24</v>
      </c>
      <c r="B30" s="12" t="s">
        <v>130</v>
      </c>
      <c r="C30" s="12" t="s">
        <v>94</v>
      </c>
      <c r="D30" s="13" t="s">
        <v>118</v>
      </c>
      <c r="E30" s="14" t="s">
        <v>131</v>
      </c>
      <c r="F30" s="14" t="s">
        <v>132</v>
      </c>
      <c r="G30" s="14" t="s">
        <v>125</v>
      </c>
      <c r="H30" s="10" t="s">
        <v>24</v>
      </c>
      <c r="I30" s="13" t="s">
        <v>22</v>
      </c>
      <c r="J30" s="12" t="s">
        <v>99</v>
      </c>
      <c r="K30" s="17" t="s">
        <v>68</v>
      </c>
      <c r="L30" s="15" t="s">
        <v>133</v>
      </c>
    </row>
    <row r="31" customFormat="false" ht="15" hidden="false" customHeight="false" outlineLevel="0" collapsed="false">
      <c r="A31" s="6" t="n">
        <v>25</v>
      </c>
      <c r="B31" s="6" t="s">
        <v>134</v>
      </c>
      <c r="C31" s="6" t="s">
        <v>94</v>
      </c>
      <c r="D31" s="7" t="s">
        <v>118</v>
      </c>
      <c r="E31" s="8" t="s">
        <v>135</v>
      </c>
      <c r="F31" s="8" t="s">
        <v>136</v>
      </c>
      <c r="G31" s="8" t="s">
        <v>125</v>
      </c>
      <c r="H31" s="10" t="s">
        <v>24</v>
      </c>
      <c r="I31" s="7" t="s">
        <v>22</v>
      </c>
      <c r="J31" s="6" t="s">
        <v>99</v>
      </c>
      <c r="K31" s="17" t="s">
        <v>68</v>
      </c>
      <c r="L31" s="11" t="s">
        <v>137</v>
      </c>
    </row>
    <row r="32" customFormat="false" ht="15" hidden="false" customHeight="false" outlineLevel="0" collapsed="false">
      <c r="A32" s="12" t="n">
        <v>26</v>
      </c>
      <c r="B32" s="12" t="s">
        <v>138</v>
      </c>
      <c r="C32" s="12" t="s">
        <v>94</v>
      </c>
      <c r="D32" s="13" t="s">
        <v>118</v>
      </c>
      <c r="E32" s="14" t="s">
        <v>139</v>
      </c>
      <c r="F32" s="14" t="s">
        <v>140</v>
      </c>
      <c r="G32" s="14" t="s">
        <v>125</v>
      </c>
      <c r="H32" s="10" t="s">
        <v>24</v>
      </c>
      <c r="I32" s="13" t="s">
        <v>22</v>
      </c>
      <c r="J32" s="12" t="s">
        <v>99</v>
      </c>
      <c r="K32" s="10" t="s">
        <v>24</v>
      </c>
      <c r="L32" s="15" t="s">
        <v>141</v>
      </c>
    </row>
    <row r="33" customFormat="false" ht="15" hidden="false" customHeight="false" outlineLevel="0" collapsed="false">
      <c r="A33" s="6" t="n">
        <v>27</v>
      </c>
      <c r="B33" s="6" t="s">
        <v>142</v>
      </c>
      <c r="C33" s="6" t="s">
        <v>94</v>
      </c>
      <c r="D33" s="7" t="s">
        <v>118</v>
      </c>
      <c r="E33" s="8" t="s">
        <v>143</v>
      </c>
      <c r="F33" s="8" t="s">
        <v>144</v>
      </c>
      <c r="G33" s="8" t="s">
        <v>121</v>
      </c>
      <c r="H33" s="16" t="s">
        <v>34</v>
      </c>
      <c r="I33" s="7" t="s">
        <v>22</v>
      </c>
      <c r="J33" s="6" t="s">
        <v>99</v>
      </c>
      <c r="K33" s="10" t="s">
        <v>24</v>
      </c>
      <c r="L33" s="11" t="s">
        <v>145</v>
      </c>
    </row>
    <row r="34" customFormat="false" ht="15" hidden="false" customHeight="false" outlineLevel="0" collapsed="false">
      <c r="A34" s="12" t="n">
        <v>28</v>
      </c>
      <c r="B34" s="12" t="s">
        <v>146</v>
      </c>
      <c r="C34" s="12" t="s">
        <v>94</v>
      </c>
      <c r="D34" s="13" t="s">
        <v>118</v>
      </c>
      <c r="E34" s="14" t="s">
        <v>147</v>
      </c>
      <c r="F34" s="14" t="s">
        <v>148</v>
      </c>
      <c r="G34" s="14" t="s">
        <v>121</v>
      </c>
      <c r="H34" s="16" t="s">
        <v>34</v>
      </c>
      <c r="I34" s="13" t="s">
        <v>22</v>
      </c>
      <c r="J34" s="12" t="s">
        <v>99</v>
      </c>
      <c r="K34" s="13" t="s">
        <v>34</v>
      </c>
      <c r="L34" s="15" t="s">
        <v>149</v>
      </c>
    </row>
    <row r="35" customFormat="false" ht="15" hidden="false" customHeight="false" outlineLevel="0" collapsed="false">
      <c r="A35" s="6" t="n">
        <v>29</v>
      </c>
      <c r="B35" s="6" t="s">
        <v>150</v>
      </c>
      <c r="C35" s="6" t="s">
        <v>94</v>
      </c>
      <c r="D35" s="7" t="s">
        <v>118</v>
      </c>
      <c r="E35" s="8" t="s">
        <v>151</v>
      </c>
      <c r="F35" s="8" t="s">
        <v>152</v>
      </c>
      <c r="G35" s="8" t="s">
        <v>125</v>
      </c>
      <c r="H35" s="16" t="s">
        <v>34</v>
      </c>
      <c r="I35" s="7" t="s">
        <v>22</v>
      </c>
      <c r="J35" s="6" t="s">
        <v>99</v>
      </c>
      <c r="K35" s="10" t="s">
        <v>24</v>
      </c>
      <c r="L35" s="11" t="s">
        <v>153</v>
      </c>
    </row>
    <row r="36" customFormat="false" ht="15" hidden="false" customHeight="false" outlineLevel="0" collapsed="false">
      <c r="A36" s="12" t="n">
        <v>30</v>
      </c>
      <c r="B36" s="12" t="s">
        <v>154</v>
      </c>
      <c r="C36" s="12" t="s">
        <v>94</v>
      </c>
      <c r="D36" s="13" t="s">
        <v>118</v>
      </c>
      <c r="E36" s="14" t="s">
        <v>155</v>
      </c>
      <c r="F36" s="14" t="s">
        <v>156</v>
      </c>
      <c r="G36" s="14" t="s">
        <v>157</v>
      </c>
      <c r="H36" s="16" t="s">
        <v>34</v>
      </c>
      <c r="I36" s="13" t="s">
        <v>22</v>
      </c>
      <c r="J36" s="12" t="s">
        <v>99</v>
      </c>
      <c r="K36" s="10" t="s">
        <v>24</v>
      </c>
      <c r="L36" s="15" t="s">
        <v>158</v>
      </c>
    </row>
    <row r="37" customFormat="false" ht="15" hidden="false" customHeight="false" outlineLevel="0" collapsed="false">
      <c r="A37" s="6" t="n">
        <v>31</v>
      </c>
      <c r="B37" s="6" t="s">
        <v>159</v>
      </c>
      <c r="C37" s="6" t="s">
        <v>94</v>
      </c>
      <c r="D37" s="7" t="s">
        <v>118</v>
      </c>
      <c r="E37" s="8" t="s">
        <v>160</v>
      </c>
      <c r="F37" s="8" t="s">
        <v>161</v>
      </c>
      <c r="G37" s="8" t="s">
        <v>162</v>
      </c>
      <c r="H37" s="16" t="s">
        <v>34</v>
      </c>
      <c r="I37" s="7" t="s">
        <v>22</v>
      </c>
      <c r="J37" s="6" t="s">
        <v>99</v>
      </c>
      <c r="K37" s="10" t="s">
        <v>24</v>
      </c>
      <c r="L37" s="11" t="s">
        <v>163</v>
      </c>
    </row>
    <row r="38" customFormat="false" ht="15" hidden="false" customHeight="false" outlineLevel="0" collapsed="false">
      <c r="A38" s="12" t="n">
        <v>32</v>
      </c>
      <c r="B38" s="12" t="s">
        <v>164</v>
      </c>
      <c r="C38" s="12" t="s">
        <v>94</v>
      </c>
      <c r="D38" s="13" t="s">
        <v>165</v>
      </c>
      <c r="E38" s="14" t="s">
        <v>166</v>
      </c>
      <c r="F38" s="15" t="s">
        <v>167</v>
      </c>
      <c r="G38" s="14" t="s">
        <v>168</v>
      </c>
      <c r="H38" s="16" t="s">
        <v>34</v>
      </c>
      <c r="I38" s="13" t="s">
        <v>22</v>
      </c>
      <c r="J38" s="12" t="s">
        <v>99</v>
      </c>
      <c r="K38" s="17" t="s">
        <v>68</v>
      </c>
      <c r="L38" s="14" t="s">
        <v>129</v>
      </c>
    </row>
    <row r="39" customFormat="false" ht="15" hidden="false" customHeight="false" outlineLevel="0" collapsed="false">
      <c r="A39" s="6" t="n">
        <v>33</v>
      </c>
      <c r="B39" s="6" t="s">
        <v>169</v>
      </c>
      <c r="C39" s="6" t="s">
        <v>94</v>
      </c>
      <c r="D39" s="7" t="s">
        <v>165</v>
      </c>
      <c r="E39" s="8" t="s">
        <v>170</v>
      </c>
      <c r="F39" s="8" t="s">
        <v>171</v>
      </c>
      <c r="G39" s="8" t="s">
        <v>172</v>
      </c>
      <c r="H39" s="16" t="s">
        <v>34</v>
      </c>
      <c r="I39" s="7" t="s">
        <v>22</v>
      </c>
      <c r="J39" s="6" t="s">
        <v>99</v>
      </c>
      <c r="K39" s="17" t="s">
        <v>68</v>
      </c>
      <c r="L39" s="11" t="s">
        <v>173</v>
      </c>
    </row>
    <row r="40" customFormat="false" ht="22.35" hidden="false" customHeight="false" outlineLevel="0" collapsed="false">
      <c r="A40" s="12" t="n">
        <v>34</v>
      </c>
      <c r="B40" s="12" t="s">
        <v>174</v>
      </c>
      <c r="C40" s="12" t="s">
        <v>94</v>
      </c>
      <c r="D40" s="13" t="s">
        <v>175</v>
      </c>
      <c r="E40" s="14" t="s">
        <v>176</v>
      </c>
      <c r="F40" s="14" t="s">
        <v>177</v>
      </c>
      <c r="G40" s="14" t="s">
        <v>178</v>
      </c>
      <c r="H40" s="16" t="s">
        <v>34</v>
      </c>
      <c r="I40" s="13" t="s">
        <v>22</v>
      </c>
      <c r="J40" s="12" t="s">
        <v>99</v>
      </c>
      <c r="K40" s="10" t="s">
        <v>24</v>
      </c>
      <c r="L40" s="14" t="s">
        <v>129</v>
      </c>
    </row>
    <row r="41" customFormat="false" ht="15" hidden="false" customHeight="false" outlineLevel="0" collapsed="false">
      <c r="A41" s="6" t="n">
        <v>35</v>
      </c>
      <c r="B41" s="6" t="s">
        <v>179</v>
      </c>
      <c r="C41" s="6" t="s">
        <v>94</v>
      </c>
      <c r="D41" s="7" t="s">
        <v>165</v>
      </c>
      <c r="E41" s="8" t="s">
        <v>180</v>
      </c>
      <c r="F41" s="8" t="s">
        <v>181</v>
      </c>
      <c r="G41" s="8" t="s">
        <v>182</v>
      </c>
      <c r="H41" s="16" t="s">
        <v>34</v>
      </c>
      <c r="I41" s="7" t="s">
        <v>22</v>
      </c>
      <c r="J41" s="6" t="s">
        <v>99</v>
      </c>
      <c r="K41" s="10" t="s">
        <v>24</v>
      </c>
      <c r="L41" s="8" t="s">
        <v>111</v>
      </c>
    </row>
    <row r="42" customFormat="false" ht="15" hidden="false" customHeight="false" outlineLevel="0" collapsed="false">
      <c r="A42" s="12" t="n">
        <v>36</v>
      </c>
      <c r="B42" s="12" t="s">
        <v>183</v>
      </c>
      <c r="C42" s="12" t="s">
        <v>94</v>
      </c>
      <c r="D42" s="13" t="s">
        <v>175</v>
      </c>
      <c r="E42" s="14" t="s">
        <v>184</v>
      </c>
      <c r="F42" s="14" t="s">
        <v>185</v>
      </c>
      <c r="G42" s="14" t="s">
        <v>186</v>
      </c>
      <c r="H42" s="16" t="s">
        <v>34</v>
      </c>
      <c r="I42" s="13" t="s">
        <v>22</v>
      </c>
      <c r="J42" s="12" t="s">
        <v>99</v>
      </c>
      <c r="K42" s="10" t="s">
        <v>24</v>
      </c>
      <c r="L42" s="14" t="s">
        <v>111</v>
      </c>
    </row>
    <row r="43" customFormat="false" ht="15" hidden="false" customHeight="false" outlineLevel="0" collapsed="false">
      <c r="A43" s="6" t="n">
        <v>37</v>
      </c>
      <c r="B43" s="6" t="s">
        <v>187</v>
      </c>
      <c r="C43" s="6" t="s">
        <v>94</v>
      </c>
      <c r="D43" s="7" t="s">
        <v>118</v>
      </c>
      <c r="E43" s="8" t="s">
        <v>188</v>
      </c>
      <c r="F43" s="8" t="s">
        <v>189</v>
      </c>
      <c r="G43" s="8" t="s">
        <v>125</v>
      </c>
      <c r="H43" s="16" t="s">
        <v>34</v>
      </c>
      <c r="I43" s="7" t="s">
        <v>22</v>
      </c>
      <c r="J43" s="6" t="s">
        <v>99</v>
      </c>
      <c r="K43" s="17" t="s">
        <v>68</v>
      </c>
      <c r="L43" s="11" t="s">
        <v>190</v>
      </c>
    </row>
    <row r="44" customFormat="false" ht="21.75" hidden="false" customHeight="true" outlineLevel="0" collapsed="false">
      <c r="A44" s="5" t="s">
        <v>191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customFormat="false" ht="15" hidden="false" customHeight="false" outlineLevel="0" collapsed="false">
      <c r="A45" s="12" t="n">
        <v>38</v>
      </c>
      <c r="B45" s="12" t="s">
        <v>192</v>
      </c>
      <c r="C45" s="12" t="s">
        <v>193</v>
      </c>
      <c r="D45" s="13" t="s">
        <v>194</v>
      </c>
      <c r="E45" s="14" t="s">
        <v>195</v>
      </c>
      <c r="F45" s="14" t="s">
        <v>196</v>
      </c>
      <c r="G45" s="14" t="s">
        <v>197</v>
      </c>
      <c r="H45" s="16" t="s">
        <v>34</v>
      </c>
      <c r="I45" s="13" t="s">
        <v>22</v>
      </c>
      <c r="J45" s="12" t="s">
        <v>99</v>
      </c>
      <c r="K45" s="10" t="s">
        <v>24</v>
      </c>
      <c r="L45" s="14" t="s">
        <v>198</v>
      </c>
    </row>
    <row r="46" customFormat="false" ht="15" hidden="false" customHeight="false" outlineLevel="0" collapsed="false">
      <c r="A46" s="6" t="n">
        <v>39</v>
      </c>
      <c r="B46" s="6" t="s">
        <v>199</v>
      </c>
      <c r="C46" s="6" t="s">
        <v>193</v>
      </c>
      <c r="D46" s="7" t="s">
        <v>194</v>
      </c>
      <c r="E46" s="8" t="s">
        <v>200</v>
      </c>
      <c r="F46" s="8" t="s">
        <v>201</v>
      </c>
      <c r="G46" s="8" t="s">
        <v>202</v>
      </c>
      <c r="H46" s="9" t="s">
        <v>21</v>
      </c>
      <c r="I46" s="7" t="s">
        <v>22</v>
      </c>
      <c r="J46" s="6" t="s">
        <v>99</v>
      </c>
      <c r="K46" s="7" t="s">
        <v>34</v>
      </c>
      <c r="L46" s="8" t="s">
        <v>111</v>
      </c>
    </row>
    <row r="47" customFormat="false" ht="15" hidden="false" customHeight="false" outlineLevel="0" collapsed="false">
      <c r="A47" s="12" t="n">
        <v>40</v>
      </c>
      <c r="B47" s="12" t="s">
        <v>203</v>
      </c>
      <c r="C47" s="12" t="s">
        <v>193</v>
      </c>
      <c r="D47" s="13" t="s">
        <v>194</v>
      </c>
      <c r="E47" s="14" t="s">
        <v>204</v>
      </c>
      <c r="F47" s="14" t="s">
        <v>205</v>
      </c>
      <c r="G47" s="14" t="s">
        <v>206</v>
      </c>
      <c r="H47" s="9" t="s">
        <v>21</v>
      </c>
      <c r="I47" s="13" t="s">
        <v>22</v>
      </c>
      <c r="J47" s="12" t="s">
        <v>99</v>
      </c>
      <c r="K47" s="13" t="s">
        <v>34</v>
      </c>
      <c r="L47" s="14" t="s">
        <v>111</v>
      </c>
    </row>
    <row r="48" customFormat="false" ht="15" hidden="false" customHeight="false" outlineLevel="0" collapsed="false">
      <c r="A48" s="6" t="n">
        <v>41</v>
      </c>
      <c r="B48" s="6" t="s">
        <v>207</v>
      </c>
      <c r="C48" s="6" t="s">
        <v>193</v>
      </c>
      <c r="D48" s="7" t="s">
        <v>208</v>
      </c>
      <c r="E48" s="8" t="s">
        <v>209</v>
      </c>
      <c r="F48" s="8" t="s">
        <v>210</v>
      </c>
      <c r="G48" s="8" t="s">
        <v>211</v>
      </c>
      <c r="H48" s="10" t="s">
        <v>24</v>
      </c>
      <c r="I48" s="7" t="s">
        <v>22</v>
      </c>
      <c r="J48" s="6" t="s">
        <v>99</v>
      </c>
      <c r="K48" s="17" t="s">
        <v>68</v>
      </c>
      <c r="L48" s="11" t="s">
        <v>100</v>
      </c>
    </row>
    <row r="49" customFormat="false" ht="15" hidden="false" customHeight="false" outlineLevel="0" collapsed="false">
      <c r="A49" s="12" t="n">
        <v>42</v>
      </c>
      <c r="B49" s="12" t="s">
        <v>212</v>
      </c>
      <c r="C49" s="12" t="s">
        <v>193</v>
      </c>
      <c r="D49" s="13" t="s">
        <v>208</v>
      </c>
      <c r="E49" s="14" t="s">
        <v>213</v>
      </c>
      <c r="F49" s="14" t="s">
        <v>214</v>
      </c>
      <c r="G49" s="14" t="s">
        <v>211</v>
      </c>
      <c r="H49" s="16" t="s">
        <v>34</v>
      </c>
      <c r="I49" s="13" t="s">
        <v>22</v>
      </c>
      <c r="J49" s="12" t="s">
        <v>99</v>
      </c>
      <c r="K49" s="10" t="s">
        <v>24</v>
      </c>
      <c r="L49" s="15" t="s">
        <v>105</v>
      </c>
    </row>
    <row r="50" customFormat="false" ht="15" hidden="false" customHeight="false" outlineLevel="0" collapsed="false">
      <c r="A50" s="6" t="n">
        <v>43</v>
      </c>
      <c r="B50" s="6" t="s">
        <v>215</v>
      </c>
      <c r="C50" s="6" t="s">
        <v>193</v>
      </c>
      <c r="D50" s="7" t="s">
        <v>208</v>
      </c>
      <c r="E50" s="8" t="s">
        <v>216</v>
      </c>
      <c r="F50" s="8" t="s">
        <v>217</v>
      </c>
      <c r="G50" s="8" t="s">
        <v>218</v>
      </c>
      <c r="H50" s="16" t="s">
        <v>34</v>
      </c>
      <c r="I50" s="7" t="s">
        <v>22</v>
      </c>
      <c r="J50" s="6" t="s">
        <v>99</v>
      </c>
      <c r="K50" s="10" t="s">
        <v>24</v>
      </c>
      <c r="L50" s="8" t="s">
        <v>198</v>
      </c>
    </row>
    <row r="51" customFormat="false" ht="15" hidden="false" customHeight="false" outlineLevel="0" collapsed="false">
      <c r="A51" s="12" t="n">
        <v>44</v>
      </c>
      <c r="B51" s="12" t="s">
        <v>219</v>
      </c>
      <c r="C51" s="12" t="s">
        <v>193</v>
      </c>
      <c r="D51" s="13" t="s">
        <v>208</v>
      </c>
      <c r="E51" s="14" t="s">
        <v>220</v>
      </c>
      <c r="F51" s="14" t="s">
        <v>221</v>
      </c>
      <c r="G51" s="14" t="s">
        <v>222</v>
      </c>
      <c r="H51" s="16" t="s">
        <v>34</v>
      </c>
      <c r="I51" s="13" t="s">
        <v>22</v>
      </c>
      <c r="J51" s="12" t="s">
        <v>99</v>
      </c>
      <c r="K51" s="10" t="s">
        <v>24</v>
      </c>
      <c r="L51" s="14" t="s">
        <v>111</v>
      </c>
    </row>
    <row r="52" customFormat="false" ht="15" hidden="false" customHeight="false" outlineLevel="0" collapsed="false">
      <c r="A52" s="6" t="n">
        <v>45</v>
      </c>
      <c r="B52" s="6" t="s">
        <v>223</v>
      </c>
      <c r="C52" s="6" t="s">
        <v>193</v>
      </c>
      <c r="D52" s="7" t="s">
        <v>208</v>
      </c>
      <c r="E52" s="8" t="s">
        <v>224</v>
      </c>
      <c r="F52" s="8" t="s">
        <v>225</v>
      </c>
      <c r="G52" s="8" t="s">
        <v>226</v>
      </c>
      <c r="H52" s="16" t="s">
        <v>34</v>
      </c>
      <c r="I52" s="7" t="s">
        <v>22</v>
      </c>
      <c r="J52" s="6" t="s">
        <v>99</v>
      </c>
      <c r="K52" s="7" t="s">
        <v>34</v>
      </c>
      <c r="L52" s="8" t="s">
        <v>111</v>
      </c>
    </row>
    <row r="53" customFormat="false" ht="21.75" hidden="false" customHeight="true" outlineLevel="0" collapsed="false">
      <c r="A53" s="5" t="s">
        <v>227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customFormat="false" ht="15" hidden="false" customHeight="false" outlineLevel="0" collapsed="false">
      <c r="A54" s="12" t="n">
        <v>46</v>
      </c>
      <c r="B54" s="12" t="s">
        <v>228</v>
      </c>
      <c r="C54" s="12" t="s">
        <v>229</v>
      </c>
      <c r="D54" s="13" t="s">
        <v>230</v>
      </c>
      <c r="E54" s="14" t="s">
        <v>231</v>
      </c>
      <c r="F54" s="14" t="s">
        <v>232</v>
      </c>
      <c r="G54" s="15" t="s">
        <v>79</v>
      </c>
      <c r="H54" s="16" t="s">
        <v>34</v>
      </c>
      <c r="I54" s="13" t="s">
        <v>22</v>
      </c>
      <c r="J54" s="12" t="s">
        <v>99</v>
      </c>
      <c r="K54" s="10" t="s">
        <v>24</v>
      </c>
      <c r="L54" s="14" t="s">
        <v>233</v>
      </c>
    </row>
    <row r="55" customFormat="false" ht="15" hidden="false" customHeight="false" outlineLevel="0" collapsed="false">
      <c r="A55" s="6" t="n">
        <v>47</v>
      </c>
      <c r="B55" s="6" t="s">
        <v>234</v>
      </c>
      <c r="C55" s="6" t="s">
        <v>229</v>
      </c>
      <c r="D55" s="7" t="s">
        <v>230</v>
      </c>
      <c r="E55" s="8" t="s">
        <v>235</v>
      </c>
      <c r="F55" s="8" t="s">
        <v>236</v>
      </c>
      <c r="G55" s="11" t="s">
        <v>79</v>
      </c>
      <c r="H55" s="16" t="s">
        <v>34</v>
      </c>
      <c r="I55" s="7" t="s">
        <v>22</v>
      </c>
      <c r="J55" s="6" t="s">
        <v>99</v>
      </c>
      <c r="K55" s="10" t="s">
        <v>24</v>
      </c>
      <c r="L55" s="8" t="s">
        <v>111</v>
      </c>
    </row>
    <row r="56" customFormat="false" ht="15" hidden="false" customHeight="false" outlineLevel="0" collapsed="false">
      <c r="A56" s="12" t="n">
        <v>48</v>
      </c>
      <c r="B56" s="12" t="s">
        <v>237</v>
      </c>
      <c r="C56" s="12" t="s">
        <v>229</v>
      </c>
      <c r="D56" s="13" t="s">
        <v>238</v>
      </c>
      <c r="E56" s="14" t="s">
        <v>239</v>
      </c>
      <c r="F56" s="15" t="s">
        <v>240</v>
      </c>
      <c r="G56" s="15" t="s">
        <v>241</v>
      </c>
      <c r="H56" s="10" t="s">
        <v>24</v>
      </c>
      <c r="I56" s="13" t="s">
        <v>22</v>
      </c>
      <c r="J56" s="12" t="s">
        <v>99</v>
      </c>
      <c r="K56" s="10" t="s">
        <v>24</v>
      </c>
      <c r="L56" s="14" t="s">
        <v>233</v>
      </c>
    </row>
    <row r="57" customFormat="false" ht="15" hidden="false" customHeight="false" outlineLevel="0" collapsed="false">
      <c r="A57" s="6" t="n">
        <v>49</v>
      </c>
      <c r="B57" s="6" t="s">
        <v>242</v>
      </c>
      <c r="C57" s="6" t="s">
        <v>229</v>
      </c>
      <c r="D57" s="7" t="s">
        <v>238</v>
      </c>
      <c r="E57" s="8" t="s">
        <v>243</v>
      </c>
      <c r="F57" s="8" t="s">
        <v>244</v>
      </c>
      <c r="G57" s="11" t="s">
        <v>241</v>
      </c>
      <c r="H57" s="16" t="s">
        <v>34</v>
      </c>
      <c r="I57" s="7" t="s">
        <v>22</v>
      </c>
      <c r="J57" s="6" t="s">
        <v>99</v>
      </c>
      <c r="K57" s="7" t="s">
        <v>34</v>
      </c>
      <c r="L57" s="8" t="s">
        <v>111</v>
      </c>
    </row>
    <row r="58" customFormat="false" ht="15" hidden="false" customHeight="false" outlineLevel="0" collapsed="false">
      <c r="A58" s="12" t="n">
        <v>50</v>
      </c>
      <c r="B58" s="12" t="s">
        <v>245</v>
      </c>
      <c r="C58" s="12" t="s">
        <v>229</v>
      </c>
      <c r="D58" s="12" t="s">
        <v>76</v>
      </c>
      <c r="E58" s="15" t="s">
        <v>246</v>
      </c>
      <c r="F58" s="15" t="s">
        <v>247</v>
      </c>
      <c r="G58" s="15" t="s">
        <v>79</v>
      </c>
      <c r="H58" s="16" t="s">
        <v>34</v>
      </c>
      <c r="I58" s="13" t="s">
        <v>22</v>
      </c>
      <c r="J58" s="12" t="s">
        <v>99</v>
      </c>
      <c r="K58" s="10" t="s">
        <v>24</v>
      </c>
      <c r="L58" s="14" t="s">
        <v>233</v>
      </c>
    </row>
    <row r="59" customFormat="false" ht="15" hidden="false" customHeight="false" outlineLevel="0" collapsed="false">
      <c r="A59" s="6" t="n">
        <v>51</v>
      </c>
      <c r="B59" s="6" t="s">
        <v>248</v>
      </c>
      <c r="C59" s="6" t="s">
        <v>229</v>
      </c>
      <c r="D59" s="7" t="s">
        <v>249</v>
      </c>
      <c r="E59" s="8" t="s">
        <v>250</v>
      </c>
      <c r="F59" s="8" t="s">
        <v>251</v>
      </c>
      <c r="G59" s="11" t="s">
        <v>241</v>
      </c>
      <c r="H59" s="10" t="s">
        <v>24</v>
      </c>
      <c r="I59" s="7" t="s">
        <v>22</v>
      </c>
      <c r="J59" s="6" t="s">
        <v>99</v>
      </c>
      <c r="K59" s="17" t="s">
        <v>68</v>
      </c>
      <c r="L59" s="8" t="s">
        <v>111</v>
      </c>
    </row>
    <row r="60" customFormat="false" ht="15" hidden="false" customHeight="false" outlineLevel="0" collapsed="false">
      <c r="A60" s="12" t="n">
        <v>52</v>
      </c>
      <c r="B60" s="12" t="s">
        <v>252</v>
      </c>
      <c r="C60" s="12" t="s">
        <v>229</v>
      </c>
      <c r="D60" s="13" t="s">
        <v>249</v>
      </c>
      <c r="E60" s="14" t="s">
        <v>253</v>
      </c>
      <c r="F60" s="14" t="s">
        <v>254</v>
      </c>
      <c r="G60" s="15" t="s">
        <v>241</v>
      </c>
      <c r="H60" s="16" t="s">
        <v>34</v>
      </c>
      <c r="I60" s="13" t="s">
        <v>22</v>
      </c>
      <c r="J60" s="12" t="s">
        <v>99</v>
      </c>
      <c r="K60" s="10" t="s">
        <v>24</v>
      </c>
      <c r="L60" s="14" t="s">
        <v>111</v>
      </c>
    </row>
    <row r="61" customFormat="false" ht="15" hidden="false" customHeight="false" outlineLevel="0" collapsed="false">
      <c r="A61" s="6" t="n">
        <v>53</v>
      </c>
      <c r="B61" s="6" t="s">
        <v>255</v>
      </c>
      <c r="C61" s="6" t="s">
        <v>229</v>
      </c>
      <c r="D61" s="7" t="s">
        <v>249</v>
      </c>
      <c r="E61" s="8" t="s">
        <v>256</v>
      </c>
      <c r="F61" s="8" t="s">
        <v>257</v>
      </c>
      <c r="G61" s="11" t="s">
        <v>241</v>
      </c>
      <c r="H61" s="16" t="s">
        <v>34</v>
      </c>
      <c r="I61" s="7" t="s">
        <v>22</v>
      </c>
      <c r="J61" s="6" t="s">
        <v>99</v>
      </c>
      <c r="K61" s="10" t="s">
        <v>24</v>
      </c>
      <c r="L61" s="8" t="s">
        <v>111</v>
      </c>
    </row>
    <row r="62" customFormat="false" ht="15" hidden="false" customHeight="false" outlineLevel="0" collapsed="false">
      <c r="A62" s="12" t="n">
        <v>54</v>
      </c>
      <c r="B62" s="12" t="s">
        <v>258</v>
      </c>
      <c r="C62" s="12" t="s">
        <v>229</v>
      </c>
      <c r="D62" s="13" t="s">
        <v>259</v>
      </c>
      <c r="E62" s="15" t="s">
        <v>260</v>
      </c>
      <c r="F62" s="15" t="s">
        <v>261</v>
      </c>
      <c r="G62" s="15" t="s">
        <v>241</v>
      </c>
      <c r="H62" s="16" t="s">
        <v>34</v>
      </c>
      <c r="I62" s="13" t="s">
        <v>22</v>
      </c>
      <c r="J62" s="12" t="s">
        <v>99</v>
      </c>
      <c r="K62" s="10" t="s">
        <v>24</v>
      </c>
      <c r="L62" s="14" t="s">
        <v>111</v>
      </c>
    </row>
    <row r="63" customFormat="false" ht="15" hidden="false" customHeight="false" outlineLevel="0" collapsed="false">
      <c r="A63" s="6" t="n">
        <v>55</v>
      </c>
      <c r="B63" s="6" t="s">
        <v>262</v>
      </c>
      <c r="C63" s="6" t="s">
        <v>229</v>
      </c>
      <c r="D63" s="7" t="s">
        <v>259</v>
      </c>
      <c r="E63" s="8" t="s">
        <v>263</v>
      </c>
      <c r="F63" s="11" t="s">
        <v>264</v>
      </c>
      <c r="G63" s="11" t="s">
        <v>241</v>
      </c>
      <c r="H63" s="16" t="s">
        <v>34</v>
      </c>
      <c r="I63" s="7" t="s">
        <v>22</v>
      </c>
      <c r="J63" s="6" t="s">
        <v>99</v>
      </c>
      <c r="K63" s="7" t="s">
        <v>34</v>
      </c>
      <c r="L63" s="8" t="s">
        <v>111</v>
      </c>
    </row>
    <row r="64" customFormat="false" ht="21.75" hidden="false" customHeight="true" outlineLevel="0" collapsed="false">
      <c r="A64" s="5" t="s">
        <v>265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customFormat="false" ht="15" hidden="false" customHeight="false" outlineLevel="0" collapsed="false">
      <c r="A65" s="12" t="n">
        <v>56</v>
      </c>
      <c r="B65" s="12" t="s">
        <v>266</v>
      </c>
      <c r="C65" s="12" t="s">
        <v>267</v>
      </c>
      <c r="D65" s="12" t="s">
        <v>268</v>
      </c>
      <c r="E65" s="15" t="s">
        <v>269</v>
      </c>
      <c r="F65" s="15" t="s">
        <v>270</v>
      </c>
      <c r="G65" s="15" t="s">
        <v>271</v>
      </c>
      <c r="H65" s="10" t="s">
        <v>24</v>
      </c>
      <c r="I65" s="13" t="s">
        <v>22</v>
      </c>
      <c r="J65" s="12" t="s">
        <v>99</v>
      </c>
      <c r="K65" s="17" t="s">
        <v>68</v>
      </c>
      <c r="L65" s="14" t="s">
        <v>272</v>
      </c>
    </row>
    <row r="66" customFormat="false" ht="15" hidden="false" customHeight="false" outlineLevel="0" collapsed="false">
      <c r="A66" s="6" t="n">
        <v>57</v>
      </c>
      <c r="B66" s="6" t="s">
        <v>273</v>
      </c>
      <c r="C66" s="6" t="s">
        <v>267</v>
      </c>
      <c r="D66" s="6" t="s">
        <v>268</v>
      </c>
      <c r="E66" s="8" t="s">
        <v>274</v>
      </c>
      <c r="F66" s="11" t="s">
        <v>275</v>
      </c>
      <c r="G66" s="11" t="s">
        <v>271</v>
      </c>
      <c r="H66" s="10" t="s">
        <v>24</v>
      </c>
      <c r="I66" s="7" t="s">
        <v>22</v>
      </c>
      <c r="J66" s="6" t="s">
        <v>99</v>
      </c>
      <c r="K66" s="17" t="s">
        <v>68</v>
      </c>
      <c r="L66" s="8" t="s">
        <v>272</v>
      </c>
    </row>
    <row r="67" customFormat="false" ht="15" hidden="false" customHeight="false" outlineLevel="0" collapsed="false">
      <c r="A67" s="12" t="n">
        <v>58</v>
      </c>
      <c r="B67" s="12" t="s">
        <v>276</v>
      </c>
      <c r="C67" s="12" t="s">
        <v>267</v>
      </c>
      <c r="D67" s="12" t="s">
        <v>268</v>
      </c>
      <c r="E67" s="14" t="s">
        <v>277</v>
      </c>
      <c r="F67" s="15" t="s">
        <v>278</v>
      </c>
      <c r="G67" s="15" t="s">
        <v>271</v>
      </c>
      <c r="H67" s="16" t="s">
        <v>34</v>
      </c>
      <c r="I67" s="13" t="s">
        <v>22</v>
      </c>
      <c r="J67" s="12" t="s">
        <v>99</v>
      </c>
      <c r="K67" s="13" t="s">
        <v>34</v>
      </c>
      <c r="L67" s="14" t="s">
        <v>111</v>
      </c>
    </row>
    <row r="68" customFormat="false" ht="15" hidden="false" customHeight="false" outlineLevel="0" collapsed="false">
      <c r="A68" s="6" t="n">
        <v>59</v>
      </c>
      <c r="B68" s="6" t="s">
        <v>279</v>
      </c>
      <c r="C68" s="6" t="s">
        <v>267</v>
      </c>
      <c r="D68" s="6" t="s">
        <v>268</v>
      </c>
      <c r="E68" s="8" t="s">
        <v>280</v>
      </c>
      <c r="F68" s="8" t="s">
        <v>281</v>
      </c>
      <c r="G68" s="11" t="s">
        <v>271</v>
      </c>
      <c r="H68" s="16" t="s">
        <v>34</v>
      </c>
      <c r="I68" s="7" t="s">
        <v>22</v>
      </c>
      <c r="J68" s="6" t="s">
        <v>99</v>
      </c>
      <c r="K68" s="7" t="s">
        <v>34</v>
      </c>
      <c r="L68" s="8" t="s">
        <v>111</v>
      </c>
    </row>
    <row r="69" customFormat="false" ht="15" hidden="false" customHeight="false" outlineLevel="0" collapsed="false">
      <c r="A69" s="12" t="n">
        <v>60</v>
      </c>
      <c r="B69" s="12" t="s">
        <v>282</v>
      </c>
      <c r="C69" s="12" t="s">
        <v>267</v>
      </c>
      <c r="D69" s="13" t="s">
        <v>283</v>
      </c>
      <c r="E69" s="14" t="s">
        <v>284</v>
      </c>
      <c r="F69" s="14" t="s">
        <v>285</v>
      </c>
      <c r="G69" s="15" t="s">
        <v>271</v>
      </c>
      <c r="H69" s="16" t="s">
        <v>34</v>
      </c>
      <c r="I69" s="13" t="s">
        <v>22</v>
      </c>
      <c r="J69" s="12" t="s">
        <v>99</v>
      </c>
      <c r="K69" s="10" t="s">
        <v>24</v>
      </c>
      <c r="L69" s="14" t="s">
        <v>111</v>
      </c>
    </row>
    <row r="70" customFormat="false" ht="15" hidden="false" customHeight="false" outlineLevel="0" collapsed="false">
      <c r="A70" s="6" t="n">
        <v>61</v>
      </c>
      <c r="B70" s="6" t="s">
        <v>286</v>
      </c>
      <c r="C70" s="6" t="s">
        <v>267</v>
      </c>
      <c r="D70" s="7" t="s">
        <v>283</v>
      </c>
      <c r="E70" s="8" t="s">
        <v>287</v>
      </c>
      <c r="F70" s="8" t="s">
        <v>288</v>
      </c>
      <c r="G70" s="11" t="s">
        <v>271</v>
      </c>
      <c r="H70" s="16" t="s">
        <v>34</v>
      </c>
      <c r="I70" s="7" t="s">
        <v>22</v>
      </c>
      <c r="J70" s="6" t="s">
        <v>99</v>
      </c>
      <c r="K70" s="10" t="s">
        <v>24</v>
      </c>
      <c r="L70" s="8" t="s">
        <v>111</v>
      </c>
    </row>
    <row r="71" customFormat="false" ht="15" hidden="false" customHeight="false" outlineLevel="0" collapsed="false">
      <c r="A71" s="12" t="n">
        <v>62</v>
      </c>
      <c r="B71" s="12" t="s">
        <v>289</v>
      </c>
      <c r="C71" s="12" t="s">
        <v>267</v>
      </c>
      <c r="D71" s="13" t="s">
        <v>283</v>
      </c>
      <c r="E71" s="15" t="s">
        <v>290</v>
      </c>
      <c r="F71" s="15" t="s">
        <v>291</v>
      </c>
      <c r="G71" s="15" t="s">
        <v>271</v>
      </c>
      <c r="H71" s="16" t="s">
        <v>34</v>
      </c>
      <c r="I71" s="13" t="s">
        <v>22</v>
      </c>
      <c r="J71" s="12" t="s">
        <v>99</v>
      </c>
      <c r="K71" s="10" t="s">
        <v>24</v>
      </c>
      <c r="L71" s="14" t="s">
        <v>111</v>
      </c>
    </row>
    <row r="72" customFormat="false" ht="15" hidden="false" customHeight="false" outlineLevel="0" collapsed="false">
      <c r="A72" s="6" t="n">
        <v>63</v>
      </c>
      <c r="B72" s="6" t="s">
        <v>292</v>
      </c>
      <c r="C72" s="6" t="s">
        <v>267</v>
      </c>
      <c r="D72" s="7" t="s">
        <v>283</v>
      </c>
      <c r="E72" s="8" t="s">
        <v>293</v>
      </c>
      <c r="F72" s="8" t="s">
        <v>294</v>
      </c>
      <c r="G72" s="11" t="s">
        <v>271</v>
      </c>
      <c r="H72" s="16" t="s">
        <v>34</v>
      </c>
      <c r="I72" s="7" t="s">
        <v>22</v>
      </c>
      <c r="J72" s="6" t="s">
        <v>99</v>
      </c>
      <c r="K72" s="10" t="s">
        <v>24</v>
      </c>
      <c r="L72" s="8" t="s">
        <v>111</v>
      </c>
    </row>
    <row r="73" customFormat="false" ht="15" hidden="false" customHeight="false" outlineLevel="0" collapsed="false">
      <c r="A73" s="12" t="n">
        <v>64</v>
      </c>
      <c r="B73" s="12" t="s">
        <v>295</v>
      </c>
      <c r="C73" s="12" t="s">
        <v>267</v>
      </c>
      <c r="D73" s="13" t="s">
        <v>283</v>
      </c>
      <c r="E73" s="14" t="s">
        <v>296</v>
      </c>
      <c r="F73" s="14" t="s">
        <v>297</v>
      </c>
      <c r="G73" s="15" t="s">
        <v>271</v>
      </c>
      <c r="H73" s="16" t="s">
        <v>34</v>
      </c>
      <c r="I73" s="13" t="s">
        <v>22</v>
      </c>
      <c r="J73" s="12" t="s">
        <v>99</v>
      </c>
      <c r="K73" s="13" t="s">
        <v>34</v>
      </c>
      <c r="L73" s="14" t="s">
        <v>111</v>
      </c>
    </row>
    <row r="74" customFormat="false" ht="15" hidden="false" customHeight="false" outlineLevel="0" collapsed="false">
      <c r="A74" s="6" t="n">
        <v>65</v>
      </c>
      <c r="B74" s="6" t="s">
        <v>298</v>
      </c>
      <c r="C74" s="6" t="s">
        <v>267</v>
      </c>
      <c r="D74" s="7" t="s">
        <v>299</v>
      </c>
      <c r="E74" s="11" t="s">
        <v>300</v>
      </c>
      <c r="F74" s="8" t="s">
        <v>301</v>
      </c>
      <c r="G74" s="11" t="s">
        <v>271</v>
      </c>
      <c r="H74" s="16" t="s">
        <v>34</v>
      </c>
      <c r="I74" s="7" t="s">
        <v>22</v>
      </c>
      <c r="J74" s="6" t="s">
        <v>99</v>
      </c>
      <c r="K74" s="10" t="s">
        <v>24</v>
      </c>
      <c r="L74" s="8" t="s">
        <v>111</v>
      </c>
    </row>
    <row r="75" customFormat="false" ht="15" hidden="false" customHeight="false" outlineLevel="0" collapsed="false">
      <c r="A75" s="12" t="n">
        <v>66</v>
      </c>
      <c r="B75" s="12" t="s">
        <v>302</v>
      </c>
      <c r="C75" s="12" t="s">
        <v>267</v>
      </c>
      <c r="D75" s="13" t="s">
        <v>299</v>
      </c>
      <c r="E75" s="14" t="s">
        <v>303</v>
      </c>
      <c r="F75" s="14" t="s">
        <v>304</v>
      </c>
      <c r="G75" s="15" t="s">
        <v>271</v>
      </c>
      <c r="H75" s="10" t="s">
        <v>24</v>
      </c>
      <c r="I75" s="13" t="s">
        <v>22</v>
      </c>
      <c r="J75" s="12" t="s">
        <v>99</v>
      </c>
      <c r="K75" s="17" t="s">
        <v>68</v>
      </c>
      <c r="L75" s="14" t="s">
        <v>111</v>
      </c>
    </row>
    <row r="76" customFormat="false" ht="15" hidden="false" customHeight="false" outlineLevel="0" collapsed="false">
      <c r="A76" s="6" t="n">
        <v>67</v>
      </c>
      <c r="B76" s="6" t="s">
        <v>305</v>
      </c>
      <c r="C76" s="6" t="s">
        <v>267</v>
      </c>
      <c r="D76" s="7" t="s">
        <v>306</v>
      </c>
      <c r="E76" s="8" t="s">
        <v>307</v>
      </c>
      <c r="F76" s="11" t="s">
        <v>308</v>
      </c>
      <c r="G76" s="11" t="s">
        <v>241</v>
      </c>
      <c r="H76" s="16" t="s">
        <v>34</v>
      </c>
      <c r="I76" s="7" t="s">
        <v>22</v>
      </c>
      <c r="J76" s="6" t="s">
        <v>99</v>
      </c>
      <c r="K76" s="10" t="s">
        <v>24</v>
      </c>
      <c r="L76" s="8" t="s">
        <v>111</v>
      </c>
    </row>
    <row r="77" customFormat="false" ht="21.75" hidden="false" customHeight="true" outlineLevel="0" collapsed="false">
      <c r="A77" s="5" t="s">
        <v>309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customFormat="false" ht="15" hidden="false" customHeight="false" outlineLevel="0" collapsed="false">
      <c r="A78" s="12" t="n">
        <v>68</v>
      </c>
      <c r="B78" s="12" t="s">
        <v>310</v>
      </c>
      <c r="C78" s="12" t="s">
        <v>311</v>
      </c>
      <c r="D78" s="13" t="s">
        <v>312</v>
      </c>
      <c r="E78" s="14" t="s">
        <v>313</v>
      </c>
      <c r="F78" s="14" t="s">
        <v>314</v>
      </c>
      <c r="G78" s="14" t="s">
        <v>315</v>
      </c>
      <c r="H78" s="16" t="s">
        <v>34</v>
      </c>
      <c r="I78" s="13" t="s">
        <v>22</v>
      </c>
      <c r="J78" s="13" t="s">
        <v>316</v>
      </c>
      <c r="K78" s="17" t="s">
        <v>68</v>
      </c>
      <c r="L78" s="14" t="s">
        <v>317</v>
      </c>
    </row>
    <row r="79" customFormat="false" ht="15" hidden="false" customHeight="false" outlineLevel="0" collapsed="false">
      <c r="A79" s="6" t="n">
        <v>69</v>
      </c>
      <c r="B79" s="6" t="s">
        <v>318</v>
      </c>
      <c r="C79" s="6" t="s">
        <v>311</v>
      </c>
      <c r="D79" s="7" t="s">
        <v>319</v>
      </c>
      <c r="E79" s="8" t="s">
        <v>320</v>
      </c>
      <c r="F79" s="8" t="s">
        <v>321</v>
      </c>
      <c r="G79" s="8" t="s">
        <v>322</v>
      </c>
      <c r="H79" s="16" t="s">
        <v>34</v>
      </c>
      <c r="I79" s="7" t="s">
        <v>22</v>
      </c>
      <c r="J79" s="7" t="s">
        <v>316</v>
      </c>
      <c r="K79" s="17" t="s">
        <v>68</v>
      </c>
      <c r="L79" s="8" t="s">
        <v>111</v>
      </c>
    </row>
    <row r="80" customFormat="false" ht="15" hidden="false" customHeight="false" outlineLevel="0" collapsed="false">
      <c r="A80" s="12" t="n">
        <v>70</v>
      </c>
      <c r="B80" s="12" t="s">
        <v>323</v>
      </c>
      <c r="C80" s="12" t="s">
        <v>311</v>
      </c>
      <c r="D80" s="12" t="s">
        <v>324</v>
      </c>
      <c r="E80" s="14" t="s">
        <v>325</v>
      </c>
      <c r="F80" s="14" t="s">
        <v>326</v>
      </c>
      <c r="G80" s="14" t="s">
        <v>327</v>
      </c>
      <c r="H80" s="16" t="s">
        <v>34</v>
      </c>
      <c r="I80" s="13" t="s">
        <v>22</v>
      </c>
      <c r="J80" s="13" t="s">
        <v>316</v>
      </c>
      <c r="K80" s="10" t="s">
        <v>24</v>
      </c>
      <c r="L80" s="15" t="s">
        <v>328</v>
      </c>
    </row>
    <row r="81" customFormat="false" ht="15" hidden="false" customHeight="false" outlineLevel="0" collapsed="false">
      <c r="A81" s="6" t="n">
        <v>71</v>
      </c>
      <c r="B81" s="6" t="s">
        <v>329</v>
      </c>
      <c r="C81" s="6" t="s">
        <v>311</v>
      </c>
      <c r="D81" s="7" t="s">
        <v>330</v>
      </c>
      <c r="E81" s="8" t="s">
        <v>331</v>
      </c>
      <c r="F81" s="8" t="s">
        <v>332</v>
      </c>
      <c r="G81" s="8" t="s">
        <v>333</v>
      </c>
      <c r="H81" s="16" t="s">
        <v>34</v>
      </c>
      <c r="I81" s="7" t="s">
        <v>22</v>
      </c>
      <c r="J81" s="7" t="s">
        <v>316</v>
      </c>
      <c r="K81" s="10" t="s">
        <v>24</v>
      </c>
      <c r="L81" s="8" t="s">
        <v>334</v>
      </c>
    </row>
    <row r="82" customFormat="false" ht="15" hidden="false" customHeight="false" outlineLevel="0" collapsed="false">
      <c r="A82" s="12" t="n">
        <v>72</v>
      </c>
      <c r="B82" s="12" t="s">
        <v>335</v>
      </c>
      <c r="C82" s="12" t="s">
        <v>311</v>
      </c>
      <c r="D82" s="13" t="s">
        <v>336</v>
      </c>
      <c r="E82" s="14" t="s">
        <v>337</v>
      </c>
      <c r="F82" s="15" t="s">
        <v>338</v>
      </c>
      <c r="G82" s="14" t="s">
        <v>339</v>
      </c>
      <c r="H82" s="16" t="s">
        <v>34</v>
      </c>
      <c r="I82" s="13" t="s">
        <v>22</v>
      </c>
      <c r="J82" s="13" t="s">
        <v>316</v>
      </c>
      <c r="K82" s="17" t="s">
        <v>68</v>
      </c>
      <c r="L82" s="15" t="s">
        <v>340</v>
      </c>
    </row>
    <row r="83" customFormat="false" ht="15" hidden="false" customHeight="false" outlineLevel="0" collapsed="false">
      <c r="A83" s="6" t="n">
        <v>73</v>
      </c>
      <c r="B83" s="6" t="s">
        <v>341</v>
      </c>
      <c r="C83" s="6" t="s">
        <v>311</v>
      </c>
      <c r="D83" s="7" t="s">
        <v>342</v>
      </c>
      <c r="E83" s="8" t="s">
        <v>343</v>
      </c>
      <c r="F83" s="8" t="s">
        <v>344</v>
      </c>
      <c r="G83" s="11" t="s">
        <v>271</v>
      </c>
      <c r="H83" s="16" t="s">
        <v>34</v>
      </c>
      <c r="I83" s="7" t="s">
        <v>53</v>
      </c>
      <c r="J83" s="6" t="s">
        <v>99</v>
      </c>
      <c r="K83" s="7" t="s">
        <v>21</v>
      </c>
      <c r="L83" s="11" t="s">
        <v>105</v>
      </c>
    </row>
  </sheetData>
  <autoFilter ref="A4:L83"/>
  <mergeCells count="8">
    <mergeCell ref="A1:L1"/>
    <mergeCell ref="A2:L2"/>
    <mergeCell ref="A5:L5"/>
    <mergeCell ref="A22:L22"/>
    <mergeCell ref="A44:L44"/>
    <mergeCell ref="A53:L53"/>
    <mergeCell ref="A64:L64"/>
    <mergeCell ref="A77:L7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6" min="6" style="0" width="55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1" min="11" style="0" width="20"/>
  </cols>
  <sheetData>
    <row r="1" customFormat="false" ht="34.5" hidden="false" customHeight="true" outlineLevel="0" collapsed="false">
      <c r="A1" s="18" t="s">
        <v>345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customFormat="false" ht="11.9" hidden="false" customHeight="false" outlineLevel="0" collapsed="false">
      <c r="A2" s="19" t="s">
        <v>346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4" customFormat="false" ht="30" hidden="false" customHeight="true" outlineLevel="0" collapsed="false">
      <c r="A4" s="3" t="s">
        <v>2</v>
      </c>
      <c r="B4" s="4" t="s">
        <v>3</v>
      </c>
      <c r="C4" s="4" t="s">
        <v>347</v>
      </c>
      <c r="D4" s="4" t="s">
        <v>4</v>
      </c>
      <c r="E4" s="4" t="s">
        <v>6</v>
      </c>
      <c r="F4" s="4" t="s">
        <v>7</v>
      </c>
      <c r="G4" s="4" t="s">
        <v>9</v>
      </c>
      <c r="H4" s="4" t="s">
        <v>10</v>
      </c>
      <c r="I4" s="3" t="s">
        <v>11</v>
      </c>
      <c r="J4" s="4" t="s">
        <v>12</v>
      </c>
      <c r="K4" s="4" t="s">
        <v>13</v>
      </c>
    </row>
    <row r="5" customFormat="false" ht="12.65" hidden="false" customHeight="false" outlineLevel="0" collapsed="false">
      <c r="A5" s="5" t="s">
        <v>348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customFormat="false" ht="15" hidden="false" customHeight="false" outlineLevel="0" collapsed="false">
      <c r="A6" s="6" t="n">
        <v>1</v>
      </c>
      <c r="B6" s="6" t="s">
        <v>349</v>
      </c>
      <c r="C6" s="7" t="s">
        <v>350</v>
      </c>
      <c r="D6" s="6" t="s">
        <v>311</v>
      </c>
      <c r="E6" s="11" t="s">
        <v>351</v>
      </c>
      <c r="F6" s="8" t="s">
        <v>352</v>
      </c>
      <c r="G6" s="16" t="s">
        <v>34</v>
      </c>
      <c r="H6" s="7" t="s">
        <v>22</v>
      </c>
      <c r="I6" s="7" t="s">
        <v>316</v>
      </c>
      <c r="J6" s="17" t="s">
        <v>68</v>
      </c>
      <c r="K6" s="11" t="s">
        <v>353</v>
      </c>
    </row>
    <row r="7" customFormat="false" ht="15" hidden="false" customHeight="false" outlineLevel="0" collapsed="false">
      <c r="A7" s="12" t="n">
        <v>2</v>
      </c>
      <c r="B7" s="12" t="s">
        <v>354</v>
      </c>
      <c r="C7" s="13" t="s">
        <v>350</v>
      </c>
      <c r="D7" s="12" t="s">
        <v>311</v>
      </c>
      <c r="E7" s="14" t="s">
        <v>355</v>
      </c>
      <c r="F7" s="15" t="s">
        <v>356</v>
      </c>
      <c r="G7" s="16" t="s">
        <v>34</v>
      </c>
      <c r="H7" s="13" t="s">
        <v>22</v>
      </c>
      <c r="I7" s="13" t="s">
        <v>316</v>
      </c>
      <c r="J7" s="17" t="s">
        <v>68</v>
      </c>
      <c r="K7" s="15" t="s">
        <v>353</v>
      </c>
    </row>
    <row r="8" customFormat="false" ht="15" hidden="false" customHeight="false" outlineLevel="0" collapsed="false">
      <c r="A8" s="6" t="n">
        <v>3</v>
      </c>
      <c r="B8" s="6" t="s">
        <v>357</v>
      </c>
      <c r="C8" s="7" t="s">
        <v>350</v>
      </c>
      <c r="D8" s="6" t="s">
        <v>311</v>
      </c>
      <c r="E8" s="11" t="s">
        <v>358</v>
      </c>
      <c r="F8" s="8" t="s">
        <v>359</v>
      </c>
      <c r="G8" s="9" t="s">
        <v>21</v>
      </c>
      <c r="H8" s="7" t="s">
        <v>22</v>
      </c>
      <c r="I8" s="7" t="s">
        <v>316</v>
      </c>
      <c r="J8" s="17" t="s">
        <v>68</v>
      </c>
      <c r="K8" s="11" t="s">
        <v>353</v>
      </c>
    </row>
    <row r="9" customFormat="false" ht="15" hidden="false" customHeight="false" outlineLevel="0" collapsed="false">
      <c r="A9" s="12" t="n">
        <v>4</v>
      </c>
      <c r="B9" s="12" t="s">
        <v>360</v>
      </c>
      <c r="C9" s="13" t="s">
        <v>350</v>
      </c>
      <c r="D9" s="12" t="s">
        <v>267</v>
      </c>
      <c r="E9" s="14" t="s">
        <v>361</v>
      </c>
      <c r="F9" s="14" t="s">
        <v>362</v>
      </c>
      <c r="G9" s="16" t="s">
        <v>34</v>
      </c>
      <c r="H9" s="13" t="s">
        <v>22</v>
      </c>
      <c r="I9" s="12" t="s">
        <v>99</v>
      </c>
      <c r="J9" s="10" t="s">
        <v>24</v>
      </c>
      <c r="K9" s="15" t="s">
        <v>353</v>
      </c>
    </row>
    <row r="10" customFormat="false" ht="15" hidden="false" customHeight="false" outlineLevel="0" collapsed="false">
      <c r="A10" s="6" t="n">
        <v>5</v>
      </c>
      <c r="B10" s="6" t="s">
        <v>363</v>
      </c>
      <c r="C10" s="7" t="s">
        <v>350</v>
      </c>
      <c r="D10" s="6" t="s">
        <v>16</v>
      </c>
      <c r="E10" s="11" t="s">
        <v>364</v>
      </c>
      <c r="F10" s="11" t="s">
        <v>365</v>
      </c>
      <c r="G10" s="9" t="s">
        <v>21</v>
      </c>
      <c r="H10" s="7" t="s">
        <v>22</v>
      </c>
      <c r="I10" s="6" t="s">
        <v>23</v>
      </c>
      <c r="J10" s="10" t="s">
        <v>24</v>
      </c>
      <c r="K10" s="11" t="s">
        <v>353</v>
      </c>
    </row>
    <row r="11" customFormat="false" ht="15" hidden="false" customHeight="false" outlineLevel="0" collapsed="false">
      <c r="A11" s="12" t="n">
        <v>6</v>
      </c>
      <c r="B11" s="12" t="s">
        <v>366</v>
      </c>
      <c r="C11" s="13" t="s">
        <v>350</v>
      </c>
      <c r="D11" s="12" t="s">
        <v>267</v>
      </c>
      <c r="E11" s="14" t="s">
        <v>367</v>
      </c>
      <c r="F11" s="14" t="s">
        <v>368</v>
      </c>
      <c r="G11" s="10" t="s">
        <v>24</v>
      </c>
      <c r="H11" s="13" t="s">
        <v>22</v>
      </c>
      <c r="I11" s="12" t="s">
        <v>99</v>
      </c>
      <c r="J11" s="13" t="s">
        <v>34</v>
      </c>
      <c r="K11" s="15" t="s">
        <v>353</v>
      </c>
    </row>
    <row r="12" customFormat="false" ht="15" hidden="false" customHeight="false" outlineLevel="0" collapsed="false">
      <c r="A12" s="6" t="n">
        <v>7</v>
      </c>
      <c r="B12" s="6" t="s">
        <v>369</v>
      </c>
      <c r="C12" s="7" t="s">
        <v>350</v>
      </c>
      <c r="D12" s="6" t="s">
        <v>311</v>
      </c>
      <c r="E12" s="8" t="s">
        <v>370</v>
      </c>
      <c r="F12" s="8" t="s">
        <v>371</v>
      </c>
      <c r="G12" s="9" t="s">
        <v>21</v>
      </c>
      <c r="H12" s="7" t="s">
        <v>22</v>
      </c>
      <c r="I12" s="7" t="s">
        <v>316</v>
      </c>
      <c r="J12" s="10" t="s">
        <v>24</v>
      </c>
      <c r="K12" s="11" t="s">
        <v>353</v>
      </c>
    </row>
    <row r="13" customFormat="false" ht="15" hidden="false" customHeight="false" outlineLevel="0" collapsed="false">
      <c r="A13" s="12" t="n">
        <v>8</v>
      </c>
      <c r="B13" s="12" t="s">
        <v>372</v>
      </c>
      <c r="C13" s="13" t="s">
        <v>350</v>
      </c>
      <c r="D13" s="12" t="s">
        <v>311</v>
      </c>
      <c r="E13" s="15" t="s">
        <v>373</v>
      </c>
      <c r="F13" s="14" t="s">
        <v>374</v>
      </c>
      <c r="G13" s="9" t="s">
        <v>21</v>
      </c>
      <c r="H13" s="13" t="s">
        <v>22</v>
      </c>
      <c r="I13" s="13" t="s">
        <v>316</v>
      </c>
      <c r="J13" s="17" t="s">
        <v>68</v>
      </c>
      <c r="K13" s="15" t="s">
        <v>353</v>
      </c>
    </row>
    <row r="14" customFormat="false" ht="12.65" hidden="false" customHeight="false" outlineLevel="0" collapsed="false">
      <c r="A14" s="5" t="s">
        <v>375</v>
      </c>
      <c r="B14" s="5"/>
      <c r="C14" s="5"/>
      <c r="D14" s="5"/>
      <c r="E14" s="5"/>
      <c r="F14" s="5"/>
      <c r="G14" s="5"/>
      <c r="H14" s="5"/>
      <c r="I14" s="5"/>
      <c r="J14" s="5"/>
      <c r="K14" s="5"/>
    </row>
    <row r="15" customFormat="false" ht="15" hidden="false" customHeight="false" outlineLevel="0" collapsed="false">
      <c r="A15" s="6" t="n">
        <v>9</v>
      </c>
      <c r="B15" s="6" t="s">
        <v>376</v>
      </c>
      <c r="C15" s="7" t="s">
        <v>377</v>
      </c>
      <c r="D15" s="6" t="s">
        <v>311</v>
      </c>
      <c r="E15" s="8" t="s">
        <v>378</v>
      </c>
      <c r="F15" s="8" t="s">
        <v>379</v>
      </c>
      <c r="G15" s="16" t="s">
        <v>34</v>
      </c>
      <c r="H15" s="7" t="s">
        <v>22</v>
      </c>
      <c r="I15" s="7" t="s">
        <v>316</v>
      </c>
      <c r="J15" s="17" t="s">
        <v>68</v>
      </c>
      <c r="K15" s="11" t="s">
        <v>380</v>
      </c>
    </row>
    <row r="16" customFormat="false" ht="15" hidden="false" customHeight="false" outlineLevel="0" collapsed="false">
      <c r="A16" s="12" t="n">
        <v>10</v>
      </c>
      <c r="B16" s="12" t="s">
        <v>381</v>
      </c>
      <c r="C16" s="13" t="s">
        <v>377</v>
      </c>
      <c r="D16" s="12" t="s">
        <v>16</v>
      </c>
      <c r="E16" s="15" t="s">
        <v>382</v>
      </c>
      <c r="F16" s="15" t="s">
        <v>383</v>
      </c>
      <c r="G16" s="10" t="s">
        <v>24</v>
      </c>
      <c r="H16" s="13" t="s">
        <v>22</v>
      </c>
      <c r="I16" s="12" t="s">
        <v>23</v>
      </c>
      <c r="J16" s="10" t="s">
        <v>24</v>
      </c>
      <c r="K16" s="15" t="s">
        <v>353</v>
      </c>
    </row>
    <row r="17" customFormat="false" ht="15" hidden="false" customHeight="false" outlineLevel="0" collapsed="false">
      <c r="A17" s="6" t="n">
        <v>11</v>
      </c>
      <c r="B17" s="6" t="s">
        <v>384</v>
      </c>
      <c r="C17" s="7" t="s">
        <v>377</v>
      </c>
      <c r="D17" s="6" t="s">
        <v>94</v>
      </c>
      <c r="E17" s="8" t="s">
        <v>385</v>
      </c>
      <c r="F17" s="11" t="s">
        <v>386</v>
      </c>
      <c r="G17" s="10" t="s">
        <v>24</v>
      </c>
      <c r="H17" s="7" t="s">
        <v>22</v>
      </c>
      <c r="I17" s="6" t="s">
        <v>99</v>
      </c>
      <c r="J17" s="17" t="s">
        <v>68</v>
      </c>
      <c r="K17" s="11" t="s">
        <v>387</v>
      </c>
    </row>
    <row r="18" customFormat="false" ht="15" hidden="false" customHeight="false" outlineLevel="0" collapsed="false">
      <c r="A18" s="12" t="n">
        <v>12</v>
      </c>
      <c r="B18" s="12" t="s">
        <v>388</v>
      </c>
      <c r="C18" s="13" t="s">
        <v>377</v>
      </c>
      <c r="D18" s="12" t="s">
        <v>311</v>
      </c>
      <c r="E18" s="14" t="s">
        <v>389</v>
      </c>
      <c r="F18" s="14" t="s">
        <v>390</v>
      </c>
      <c r="G18" s="16" t="s">
        <v>34</v>
      </c>
      <c r="H18" s="13" t="s">
        <v>22</v>
      </c>
      <c r="I18" s="13" t="s">
        <v>316</v>
      </c>
      <c r="J18" s="10" t="s">
        <v>24</v>
      </c>
      <c r="K18" s="15" t="s">
        <v>353</v>
      </c>
    </row>
    <row r="19" customFormat="false" ht="15" hidden="false" customHeight="false" outlineLevel="0" collapsed="false">
      <c r="A19" s="6" t="n">
        <v>13</v>
      </c>
      <c r="B19" s="6" t="s">
        <v>391</v>
      </c>
      <c r="C19" s="7" t="s">
        <v>377</v>
      </c>
      <c r="D19" s="6" t="s">
        <v>16</v>
      </c>
      <c r="E19" s="11" t="s">
        <v>392</v>
      </c>
      <c r="F19" s="11" t="s">
        <v>393</v>
      </c>
      <c r="G19" s="16" t="s">
        <v>34</v>
      </c>
      <c r="H19" s="7" t="s">
        <v>22</v>
      </c>
      <c r="I19" s="6" t="s">
        <v>23</v>
      </c>
      <c r="J19" s="10" t="s">
        <v>24</v>
      </c>
      <c r="K19" s="11" t="s">
        <v>353</v>
      </c>
    </row>
    <row r="20" customFormat="false" ht="15" hidden="false" customHeight="false" outlineLevel="0" collapsed="false">
      <c r="A20" s="12" t="n">
        <v>14</v>
      </c>
      <c r="B20" s="12" t="s">
        <v>394</v>
      </c>
      <c r="C20" s="13" t="s">
        <v>377</v>
      </c>
      <c r="D20" s="12" t="s">
        <v>267</v>
      </c>
      <c r="E20" s="15" t="s">
        <v>395</v>
      </c>
      <c r="F20" s="15" t="s">
        <v>396</v>
      </c>
      <c r="G20" s="16" t="s">
        <v>34</v>
      </c>
      <c r="H20" s="13" t="s">
        <v>22</v>
      </c>
      <c r="I20" s="12" t="s">
        <v>99</v>
      </c>
      <c r="J20" s="10" t="s">
        <v>24</v>
      </c>
      <c r="K20" s="15" t="s">
        <v>353</v>
      </c>
    </row>
    <row r="21" customFormat="false" ht="15" hidden="false" customHeight="false" outlineLevel="0" collapsed="false">
      <c r="A21" s="6" t="n">
        <v>15</v>
      </c>
      <c r="B21" s="6" t="s">
        <v>397</v>
      </c>
      <c r="C21" s="7" t="s">
        <v>377</v>
      </c>
      <c r="D21" s="6" t="s">
        <v>267</v>
      </c>
      <c r="E21" s="8" t="s">
        <v>398</v>
      </c>
      <c r="F21" s="8" t="s">
        <v>399</v>
      </c>
      <c r="G21" s="16" t="s">
        <v>34</v>
      </c>
      <c r="H21" s="7" t="s">
        <v>22</v>
      </c>
      <c r="I21" s="6" t="s">
        <v>99</v>
      </c>
      <c r="J21" s="10" t="s">
        <v>24</v>
      </c>
      <c r="K21" s="11" t="s">
        <v>353</v>
      </c>
    </row>
    <row r="22" customFormat="false" ht="15" hidden="false" customHeight="false" outlineLevel="0" collapsed="false">
      <c r="A22" s="12" t="n">
        <v>16</v>
      </c>
      <c r="B22" s="12" t="s">
        <v>400</v>
      </c>
      <c r="C22" s="13" t="s">
        <v>377</v>
      </c>
      <c r="D22" s="12" t="s">
        <v>193</v>
      </c>
      <c r="E22" s="14" t="s">
        <v>401</v>
      </c>
      <c r="F22" s="15" t="s">
        <v>402</v>
      </c>
      <c r="G22" s="10" t="s">
        <v>24</v>
      </c>
      <c r="H22" s="13" t="s">
        <v>22</v>
      </c>
      <c r="I22" s="12" t="s">
        <v>99</v>
      </c>
      <c r="J22" s="10" t="s">
        <v>24</v>
      </c>
      <c r="K22" s="15" t="s">
        <v>353</v>
      </c>
    </row>
    <row r="23" customFormat="false" ht="12.65" hidden="false" customHeight="false" outlineLevel="0" collapsed="false">
      <c r="A23" s="5" t="s">
        <v>403</v>
      </c>
      <c r="B23" s="5"/>
      <c r="C23" s="5"/>
      <c r="D23" s="5"/>
      <c r="E23" s="5"/>
      <c r="F23" s="5"/>
      <c r="G23" s="5"/>
      <c r="H23" s="5"/>
      <c r="I23" s="5"/>
      <c r="J23" s="5"/>
      <c r="K23" s="5"/>
    </row>
    <row r="24" customFormat="false" ht="15" hidden="false" customHeight="false" outlineLevel="0" collapsed="false">
      <c r="A24" s="6" t="n">
        <v>17</v>
      </c>
      <c r="B24" s="6" t="s">
        <v>404</v>
      </c>
      <c r="C24" s="7" t="s">
        <v>405</v>
      </c>
      <c r="D24" s="6" t="s">
        <v>311</v>
      </c>
      <c r="E24" s="8" t="s">
        <v>406</v>
      </c>
      <c r="F24" s="8" t="s">
        <v>407</v>
      </c>
      <c r="G24" s="16" t="s">
        <v>34</v>
      </c>
      <c r="H24" s="7" t="s">
        <v>22</v>
      </c>
      <c r="I24" s="7" t="s">
        <v>316</v>
      </c>
      <c r="J24" s="17" t="s">
        <v>68</v>
      </c>
      <c r="K24" s="11" t="s">
        <v>408</v>
      </c>
    </row>
    <row r="25" customFormat="false" ht="15" hidden="false" customHeight="false" outlineLevel="0" collapsed="false">
      <c r="A25" s="12" t="n">
        <v>18</v>
      </c>
      <c r="B25" s="12" t="s">
        <v>409</v>
      </c>
      <c r="C25" s="13" t="s">
        <v>405</v>
      </c>
      <c r="D25" s="12" t="s">
        <v>311</v>
      </c>
      <c r="E25" s="14" t="s">
        <v>410</v>
      </c>
      <c r="F25" s="14" t="s">
        <v>411</v>
      </c>
      <c r="G25" s="16" t="s">
        <v>34</v>
      </c>
      <c r="H25" s="13" t="s">
        <v>22</v>
      </c>
      <c r="I25" s="13" t="s">
        <v>316</v>
      </c>
      <c r="J25" s="10" t="s">
        <v>24</v>
      </c>
      <c r="K25" s="15" t="s">
        <v>105</v>
      </c>
    </row>
    <row r="26" customFormat="false" ht="15" hidden="false" customHeight="false" outlineLevel="0" collapsed="false">
      <c r="A26" s="6" t="n">
        <v>19</v>
      </c>
      <c r="B26" s="6" t="s">
        <v>412</v>
      </c>
      <c r="C26" s="7" t="s">
        <v>405</v>
      </c>
      <c r="D26" s="6" t="s">
        <v>311</v>
      </c>
      <c r="E26" s="8" t="s">
        <v>413</v>
      </c>
      <c r="F26" s="8" t="s">
        <v>414</v>
      </c>
      <c r="G26" s="9" t="s">
        <v>21</v>
      </c>
      <c r="H26" s="7" t="s">
        <v>22</v>
      </c>
      <c r="I26" s="7" t="s">
        <v>316</v>
      </c>
      <c r="J26" s="7" t="s">
        <v>34</v>
      </c>
      <c r="K26" s="11" t="s">
        <v>105</v>
      </c>
    </row>
    <row r="27" customFormat="false" ht="15" hidden="false" customHeight="false" outlineLevel="0" collapsed="false">
      <c r="A27" s="12" t="n">
        <v>20</v>
      </c>
      <c r="B27" s="12" t="s">
        <v>415</v>
      </c>
      <c r="C27" s="13" t="s">
        <v>405</v>
      </c>
      <c r="D27" s="12" t="s">
        <v>311</v>
      </c>
      <c r="E27" s="14" t="s">
        <v>416</v>
      </c>
      <c r="F27" s="14" t="s">
        <v>417</v>
      </c>
      <c r="G27" s="16" t="s">
        <v>34</v>
      </c>
      <c r="H27" s="13" t="s">
        <v>22</v>
      </c>
      <c r="I27" s="13" t="s">
        <v>316</v>
      </c>
      <c r="J27" s="10" t="s">
        <v>24</v>
      </c>
      <c r="K27" s="15" t="s">
        <v>353</v>
      </c>
    </row>
    <row r="28" customFormat="false" ht="15" hidden="false" customHeight="false" outlineLevel="0" collapsed="false">
      <c r="A28" s="6" t="n">
        <v>21</v>
      </c>
      <c r="B28" s="6" t="s">
        <v>418</v>
      </c>
      <c r="C28" s="7" t="s">
        <v>405</v>
      </c>
      <c r="D28" s="6" t="s">
        <v>267</v>
      </c>
      <c r="E28" s="8" t="s">
        <v>419</v>
      </c>
      <c r="F28" s="8" t="s">
        <v>420</v>
      </c>
      <c r="G28" s="9" t="s">
        <v>21</v>
      </c>
      <c r="H28" s="7" t="s">
        <v>22</v>
      </c>
      <c r="I28" s="6" t="s">
        <v>99</v>
      </c>
      <c r="J28" s="10" t="s">
        <v>24</v>
      </c>
      <c r="K28" s="11" t="s">
        <v>353</v>
      </c>
    </row>
    <row r="29" customFormat="false" ht="15" hidden="false" customHeight="false" outlineLevel="0" collapsed="false">
      <c r="A29" s="12" t="n">
        <v>22</v>
      </c>
      <c r="B29" s="12" t="s">
        <v>421</v>
      </c>
      <c r="C29" s="13" t="s">
        <v>405</v>
      </c>
      <c r="D29" s="12" t="s">
        <v>267</v>
      </c>
      <c r="E29" s="14" t="s">
        <v>422</v>
      </c>
      <c r="F29" s="14" t="s">
        <v>423</v>
      </c>
      <c r="G29" s="9" t="s">
        <v>21</v>
      </c>
      <c r="H29" s="13" t="s">
        <v>22</v>
      </c>
      <c r="I29" s="12" t="s">
        <v>99</v>
      </c>
      <c r="J29" s="13" t="s">
        <v>34</v>
      </c>
      <c r="K29" s="15" t="s">
        <v>353</v>
      </c>
    </row>
    <row r="30" customFormat="false" ht="15" hidden="false" customHeight="false" outlineLevel="0" collapsed="false">
      <c r="A30" s="6" t="n">
        <v>23</v>
      </c>
      <c r="B30" s="6" t="s">
        <v>424</v>
      </c>
      <c r="C30" s="7" t="s">
        <v>405</v>
      </c>
      <c r="D30" s="6" t="s">
        <v>311</v>
      </c>
      <c r="E30" s="8" t="s">
        <v>425</v>
      </c>
      <c r="F30" s="8" t="s">
        <v>426</v>
      </c>
      <c r="G30" s="9" t="s">
        <v>21</v>
      </c>
      <c r="H30" s="7" t="s">
        <v>22</v>
      </c>
      <c r="I30" s="7" t="s">
        <v>316</v>
      </c>
      <c r="J30" s="10" t="s">
        <v>24</v>
      </c>
      <c r="K30" s="11" t="s">
        <v>408</v>
      </c>
    </row>
    <row r="31" customFormat="false" ht="15" hidden="false" customHeight="false" outlineLevel="0" collapsed="false">
      <c r="A31" s="12" t="n">
        <v>24</v>
      </c>
      <c r="B31" s="12" t="s">
        <v>427</v>
      </c>
      <c r="C31" s="13" t="s">
        <v>405</v>
      </c>
      <c r="D31" s="12" t="s">
        <v>94</v>
      </c>
      <c r="E31" s="14" t="s">
        <v>428</v>
      </c>
      <c r="F31" s="14" t="s">
        <v>429</v>
      </c>
      <c r="G31" s="16" t="s">
        <v>34</v>
      </c>
      <c r="H31" s="13" t="s">
        <v>53</v>
      </c>
      <c r="I31" s="12" t="s">
        <v>99</v>
      </c>
      <c r="J31" s="13" t="s">
        <v>21</v>
      </c>
      <c r="K31" s="15" t="s">
        <v>105</v>
      </c>
    </row>
    <row r="32" customFormat="false" ht="12.65" hidden="false" customHeight="false" outlineLevel="0" collapsed="false">
      <c r="A32" s="5" t="s">
        <v>430</v>
      </c>
      <c r="B32" s="5"/>
      <c r="C32" s="5"/>
      <c r="D32" s="5"/>
      <c r="E32" s="5"/>
      <c r="F32" s="5"/>
      <c r="G32" s="5"/>
      <c r="H32" s="5"/>
      <c r="I32" s="5"/>
      <c r="J32" s="5"/>
      <c r="K32" s="5"/>
    </row>
    <row r="33" customFormat="false" ht="15" hidden="false" customHeight="false" outlineLevel="0" collapsed="false">
      <c r="A33" s="6" t="n">
        <v>25</v>
      </c>
      <c r="B33" s="6" t="s">
        <v>431</v>
      </c>
      <c r="C33" s="7" t="s">
        <v>432</v>
      </c>
      <c r="D33" s="6" t="s">
        <v>267</v>
      </c>
      <c r="E33" s="8" t="s">
        <v>433</v>
      </c>
      <c r="F33" s="8" t="s">
        <v>434</v>
      </c>
      <c r="G33" s="16" t="s">
        <v>34</v>
      </c>
      <c r="H33" s="7" t="s">
        <v>22</v>
      </c>
      <c r="I33" s="6" t="s">
        <v>99</v>
      </c>
      <c r="J33" s="17" t="s">
        <v>68</v>
      </c>
      <c r="K33" s="11" t="s">
        <v>353</v>
      </c>
    </row>
    <row r="34" customFormat="false" ht="15" hidden="false" customHeight="false" outlineLevel="0" collapsed="false">
      <c r="A34" s="12" t="n">
        <v>26</v>
      </c>
      <c r="B34" s="12" t="s">
        <v>435</v>
      </c>
      <c r="C34" s="13" t="s">
        <v>432</v>
      </c>
      <c r="D34" s="12" t="s">
        <v>267</v>
      </c>
      <c r="E34" s="14" t="s">
        <v>436</v>
      </c>
      <c r="F34" s="14" t="s">
        <v>437</v>
      </c>
      <c r="G34" s="10" t="s">
        <v>24</v>
      </c>
      <c r="H34" s="13" t="s">
        <v>22</v>
      </c>
      <c r="I34" s="12" t="s">
        <v>99</v>
      </c>
      <c r="J34" s="10" t="s">
        <v>24</v>
      </c>
      <c r="K34" s="15" t="s">
        <v>353</v>
      </c>
    </row>
    <row r="35" customFormat="false" ht="15" hidden="false" customHeight="false" outlineLevel="0" collapsed="false">
      <c r="A35" s="6" t="n">
        <v>27</v>
      </c>
      <c r="B35" s="6" t="s">
        <v>438</v>
      </c>
      <c r="C35" s="7" t="s">
        <v>432</v>
      </c>
      <c r="D35" s="6" t="s">
        <v>267</v>
      </c>
      <c r="E35" s="8" t="s">
        <v>439</v>
      </c>
      <c r="F35" s="8" t="s">
        <v>440</v>
      </c>
      <c r="G35" s="16" t="s">
        <v>34</v>
      </c>
      <c r="H35" s="7" t="s">
        <v>22</v>
      </c>
      <c r="I35" s="6" t="s">
        <v>99</v>
      </c>
      <c r="J35" s="10" t="s">
        <v>24</v>
      </c>
      <c r="K35" s="11" t="s">
        <v>353</v>
      </c>
    </row>
    <row r="36" customFormat="false" ht="15" hidden="false" customHeight="false" outlineLevel="0" collapsed="false">
      <c r="A36" s="12" t="n">
        <v>28</v>
      </c>
      <c r="B36" s="12" t="s">
        <v>441</v>
      </c>
      <c r="C36" s="13" t="s">
        <v>432</v>
      </c>
      <c r="D36" s="12" t="s">
        <v>311</v>
      </c>
      <c r="E36" s="14" t="s">
        <v>442</v>
      </c>
      <c r="F36" s="14" t="s">
        <v>443</v>
      </c>
      <c r="G36" s="16" t="s">
        <v>34</v>
      </c>
      <c r="H36" s="13" t="s">
        <v>22</v>
      </c>
      <c r="I36" s="13" t="s">
        <v>316</v>
      </c>
      <c r="J36" s="17" t="s">
        <v>68</v>
      </c>
      <c r="K36" s="15" t="s">
        <v>353</v>
      </c>
    </row>
    <row r="37" customFormat="false" ht="15" hidden="false" customHeight="false" outlineLevel="0" collapsed="false">
      <c r="A37" s="6" t="n">
        <v>29</v>
      </c>
      <c r="B37" s="6" t="s">
        <v>444</v>
      </c>
      <c r="C37" s="7" t="s">
        <v>432</v>
      </c>
      <c r="D37" s="6" t="s">
        <v>311</v>
      </c>
      <c r="E37" s="8" t="s">
        <v>445</v>
      </c>
      <c r="F37" s="8" t="s">
        <v>446</v>
      </c>
      <c r="G37" s="9" t="s">
        <v>21</v>
      </c>
      <c r="H37" s="7" t="s">
        <v>22</v>
      </c>
      <c r="I37" s="7" t="s">
        <v>316</v>
      </c>
      <c r="J37" s="10" t="s">
        <v>24</v>
      </c>
      <c r="K37" s="11" t="s">
        <v>353</v>
      </c>
    </row>
    <row r="38" customFormat="false" ht="15" hidden="false" customHeight="false" outlineLevel="0" collapsed="false">
      <c r="A38" s="12" t="n">
        <v>30</v>
      </c>
      <c r="B38" s="12" t="s">
        <v>447</v>
      </c>
      <c r="C38" s="13" t="s">
        <v>432</v>
      </c>
      <c r="D38" s="12" t="s">
        <v>267</v>
      </c>
      <c r="E38" s="15" t="s">
        <v>448</v>
      </c>
      <c r="F38" s="15" t="s">
        <v>449</v>
      </c>
      <c r="G38" s="16" t="s">
        <v>34</v>
      </c>
      <c r="H38" s="13" t="s">
        <v>22</v>
      </c>
      <c r="I38" s="12" t="s">
        <v>99</v>
      </c>
      <c r="J38" s="10" t="s">
        <v>24</v>
      </c>
      <c r="K38" s="15" t="s">
        <v>353</v>
      </c>
    </row>
    <row r="39" customFormat="false" ht="12.65" hidden="false" customHeight="false" outlineLevel="0" collapsed="false">
      <c r="A39" s="5" t="s">
        <v>450</v>
      </c>
      <c r="B39" s="5"/>
      <c r="C39" s="5"/>
      <c r="D39" s="5"/>
      <c r="E39" s="5"/>
      <c r="F39" s="5"/>
      <c r="G39" s="5"/>
      <c r="H39" s="5"/>
      <c r="I39" s="5"/>
      <c r="J39" s="5"/>
      <c r="K39" s="5"/>
    </row>
    <row r="40" customFormat="false" ht="15" hidden="false" customHeight="false" outlineLevel="0" collapsed="false">
      <c r="A40" s="6" t="n">
        <v>31</v>
      </c>
      <c r="B40" s="6" t="s">
        <v>451</v>
      </c>
      <c r="C40" s="7" t="s">
        <v>452</v>
      </c>
      <c r="D40" s="6" t="s">
        <v>16</v>
      </c>
      <c r="E40" s="11" t="s">
        <v>453</v>
      </c>
      <c r="F40" s="11" t="s">
        <v>454</v>
      </c>
      <c r="G40" s="16" t="s">
        <v>34</v>
      </c>
      <c r="H40" s="7" t="s">
        <v>22</v>
      </c>
      <c r="I40" s="6" t="s">
        <v>23</v>
      </c>
      <c r="J40" s="17" t="s">
        <v>68</v>
      </c>
      <c r="K40" s="8" t="s">
        <v>455</v>
      </c>
    </row>
    <row r="41" customFormat="false" ht="15" hidden="false" customHeight="false" outlineLevel="0" collapsed="false">
      <c r="A41" s="12" t="n">
        <v>32</v>
      </c>
      <c r="B41" s="12" t="s">
        <v>456</v>
      </c>
      <c r="C41" s="13" t="s">
        <v>452</v>
      </c>
      <c r="D41" s="12" t="s">
        <v>16</v>
      </c>
      <c r="E41" s="15" t="s">
        <v>457</v>
      </c>
      <c r="F41" s="15" t="s">
        <v>458</v>
      </c>
      <c r="G41" s="16" t="s">
        <v>34</v>
      </c>
      <c r="H41" s="13" t="s">
        <v>22</v>
      </c>
      <c r="I41" s="12" t="s">
        <v>23</v>
      </c>
      <c r="J41" s="10" t="s">
        <v>24</v>
      </c>
      <c r="K41" s="15" t="s">
        <v>353</v>
      </c>
    </row>
    <row r="42" customFormat="false" ht="15" hidden="false" customHeight="false" outlineLevel="0" collapsed="false">
      <c r="A42" s="6" t="n">
        <v>33</v>
      </c>
      <c r="B42" s="6" t="s">
        <v>459</v>
      </c>
      <c r="C42" s="7" t="s">
        <v>452</v>
      </c>
      <c r="D42" s="6" t="s">
        <v>16</v>
      </c>
      <c r="E42" s="8" t="s">
        <v>460</v>
      </c>
      <c r="F42" s="11" t="s">
        <v>461</v>
      </c>
      <c r="G42" s="9" t="s">
        <v>21</v>
      </c>
      <c r="H42" s="7" t="s">
        <v>22</v>
      </c>
      <c r="I42" s="6" t="s">
        <v>23</v>
      </c>
      <c r="J42" s="10" t="s">
        <v>24</v>
      </c>
      <c r="K42" s="11" t="s">
        <v>353</v>
      </c>
    </row>
    <row r="43" customFormat="false" ht="15" hidden="false" customHeight="false" outlineLevel="0" collapsed="false">
      <c r="A43" s="12" t="n">
        <v>34</v>
      </c>
      <c r="B43" s="12" t="s">
        <v>462</v>
      </c>
      <c r="C43" s="13" t="s">
        <v>452</v>
      </c>
      <c r="D43" s="12" t="s">
        <v>267</v>
      </c>
      <c r="E43" s="15" t="s">
        <v>463</v>
      </c>
      <c r="F43" s="15" t="s">
        <v>464</v>
      </c>
      <c r="G43" s="16" t="s">
        <v>34</v>
      </c>
      <c r="H43" s="13" t="s">
        <v>22</v>
      </c>
      <c r="I43" s="12" t="s">
        <v>99</v>
      </c>
      <c r="J43" s="10" t="s">
        <v>24</v>
      </c>
      <c r="K43" s="15" t="s">
        <v>353</v>
      </c>
    </row>
    <row r="44" customFormat="false" ht="15" hidden="false" customHeight="false" outlineLevel="0" collapsed="false">
      <c r="A44" s="6" t="n">
        <v>35</v>
      </c>
      <c r="B44" s="6" t="s">
        <v>465</v>
      </c>
      <c r="C44" s="7" t="s">
        <v>452</v>
      </c>
      <c r="D44" s="6" t="s">
        <v>267</v>
      </c>
      <c r="E44" s="8" t="s">
        <v>466</v>
      </c>
      <c r="F44" s="8" t="s">
        <v>467</v>
      </c>
      <c r="G44" s="16" t="s">
        <v>34</v>
      </c>
      <c r="H44" s="7" t="s">
        <v>22</v>
      </c>
      <c r="I44" s="6" t="s">
        <v>99</v>
      </c>
      <c r="J44" s="10" t="s">
        <v>24</v>
      </c>
      <c r="K44" s="11" t="s">
        <v>353</v>
      </c>
    </row>
    <row r="45" customFormat="false" ht="15" hidden="false" customHeight="false" outlineLevel="0" collapsed="false">
      <c r="A45" s="12" t="n">
        <v>36</v>
      </c>
      <c r="B45" s="12" t="s">
        <v>468</v>
      </c>
      <c r="C45" s="13" t="s">
        <v>452</v>
      </c>
      <c r="D45" s="12" t="s">
        <v>311</v>
      </c>
      <c r="E45" s="14" t="s">
        <v>469</v>
      </c>
      <c r="F45" s="14" t="s">
        <v>470</v>
      </c>
      <c r="G45" s="16" t="s">
        <v>34</v>
      </c>
      <c r="H45" s="13" t="s">
        <v>22</v>
      </c>
      <c r="I45" s="13" t="s">
        <v>316</v>
      </c>
      <c r="J45" s="13" t="s">
        <v>34</v>
      </c>
      <c r="K45" s="15" t="s">
        <v>353</v>
      </c>
    </row>
    <row r="46" customFormat="false" ht="12.65" hidden="false" customHeight="false" outlineLevel="0" collapsed="false">
      <c r="A46" s="5" t="s">
        <v>471</v>
      </c>
      <c r="B46" s="5"/>
      <c r="C46" s="5"/>
      <c r="D46" s="5"/>
      <c r="E46" s="5"/>
      <c r="F46" s="5"/>
      <c r="G46" s="5"/>
      <c r="H46" s="5"/>
      <c r="I46" s="5"/>
      <c r="J46" s="5"/>
      <c r="K46" s="5"/>
    </row>
    <row r="47" customFormat="false" ht="15" hidden="false" customHeight="false" outlineLevel="0" collapsed="false">
      <c r="A47" s="6" t="n">
        <v>37</v>
      </c>
      <c r="B47" s="6" t="s">
        <v>472</v>
      </c>
      <c r="C47" s="7" t="s">
        <v>473</v>
      </c>
      <c r="D47" s="6" t="s">
        <v>16</v>
      </c>
      <c r="E47" s="8" t="s">
        <v>474</v>
      </c>
      <c r="F47" s="8" t="s">
        <v>475</v>
      </c>
      <c r="G47" s="16" t="s">
        <v>34</v>
      </c>
      <c r="H47" s="7" t="s">
        <v>22</v>
      </c>
      <c r="I47" s="6" t="s">
        <v>23</v>
      </c>
      <c r="J47" s="17" t="s">
        <v>68</v>
      </c>
      <c r="K47" s="11" t="s">
        <v>408</v>
      </c>
    </row>
    <row r="48" customFormat="false" ht="15" hidden="false" customHeight="false" outlineLevel="0" collapsed="false">
      <c r="A48" s="12" t="n">
        <v>38</v>
      </c>
      <c r="B48" s="12" t="s">
        <v>476</v>
      </c>
      <c r="C48" s="13" t="s">
        <v>473</v>
      </c>
      <c r="D48" s="12" t="s">
        <v>16</v>
      </c>
      <c r="E48" s="14" t="s">
        <v>477</v>
      </c>
      <c r="F48" s="14" t="s">
        <v>478</v>
      </c>
      <c r="G48" s="16" t="s">
        <v>34</v>
      </c>
      <c r="H48" s="13" t="s">
        <v>22</v>
      </c>
      <c r="I48" s="12" t="s">
        <v>23</v>
      </c>
      <c r="J48" s="17" t="s">
        <v>68</v>
      </c>
      <c r="K48" s="15" t="s">
        <v>353</v>
      </c>
    </row>
    <row r="49" customFormat="false" ht="15" hidden="false" customHeight="false" outlineLevel="0" collapsed="false">
      <c r="A49" s="6" t="n">
        <v>39</v>
      </c>
      <c r="B49" s="6" t="s">
        <v>479</v>
      </c>
      <c r="C49" s="7" t="s">
        <v>473</v>
      </c>
      <c r="D49" s="6" t="s">
        <v>16</v>
      </c>
      <c r="E49" s="8" t="s">
        <v>480</v>
      </c>
      <c r="F49" s="8" t="s">
        <v>481</v>
      </c>
      <c r="G49" s="16" t="s">
        <v>34</v>
      </c>
      <c r="H49" s="7" t="s">
        <v>22</v>
      </c>
      <c r="I49" s="6" t="s">
        <v>23</v>
      </c>
      <c r="J49" s="10" t="s">
        <v>24</v>
      </c>
      <c r="K49" s="11" t="s">
        <v>353</v>
      </c>
    </row>
    <row r="50" customFormat="false" ht="15" hidden="false" customHeight="false" outlineLevel="0" collapsed="false">
      <c r="A50" s="12" t="n">
        <v>40</v>
      </c>
      <c r="B50" s="12" t="s">
        <v>482</v>
      </c>
      <c r="C50" s="13" t="s">
        <v>473</v>
      </c>
      <c r="D50" s="12" t="s">
        <v>311</v>
      </c>
      <c r="E50" s="14" t="s">
        <v>483</v>
      </c>
      <c r="F50" s="15" t="s">
        <v>484</v>
      </c>
      <c r="G50" s="9" t="s">
        <v>21</v>
      </c>
      <c r="H50" s="13" t="s">
        <v>22</v>
      </c>
      <c r="I50" s="13" t="s">
        <v>316</v>
      </c>
      <c r="J50" s="10" t="s">
        <v>24</v>
      </c>
      <c r="K50" s="15" t="s">
        <v>353</v>
      </c>
    </row>
    <row r="51" customFormat="false" ht="15" hidden="false" customHeight="false" outlineLevel="0" collapsed="false">
      <c r="A51" s="6" t="n">
        <v>41</v>
      </c>
      <c r="B51" s="6" t="s">
        <v>485</v>
      </c>
      <c r="C51" s="7" t="s">
        <v>473</v>
      </c>
      <c r="D51" s="6" t="s">
        <v>311</v>
      </c>
      <c r="E51" s="8" t="s">
        <v>486</v>
      </c>
      <c r="F51" s="8" t="s">
        <v>487</v>
      </c>
      <c r="G51" s="10" t="s">
        <v>24</v>
      </c>
      <c r="H51" s="7" t="s">
        <v>22</v>
      </c>
      <c r="I51" s="7" t="s">
        <v>316</v>
      </c>
      <c r="J51" s="17" t="s">
        <v>68</v>
      </c>
      <c r="K51" s="11" t="s">
        <v>408</v>
      </c>
    </row>
    <row r="52" customFormat="false" ht="12.65" hidden="false" customHeight="false" outlineLevel="0" collapsed="false">
      <c r="A52" s="5" t="s">
        <v>488</v>
      </c>
      <c r="B52" s="5"/>
      <c r="C52" s="5"/>
      <c r="D52" s="5"/>
      <c r="E52" s="5"/>
      <c r="F52" s="5"/>
      <c r="G52" s="5"/>
      <c r="H52" s="5"/>
      <c r="I52" s="5"/>
      <c r="J52" s="5"/>
      <c r="K52" s="5"/>
    </row>
    <row r="53" customFormat="false" ht="15" hidden="false" customHeight="false" outlineLevel="0" collapsed="false">
      <c r="A53" s="12" t="n">
        <v>42</v>
      </c>
      <c r="B53" s="12" t="s">
        <v>489</v>
      </c>
      <c r="C53" s="13" t="s">
        <v>490</v>
      </c>
      <c r="D53" s="12" t="s">
        <v>311</v>
      </c>
      <c r="E53" s="14" t="s">
        <v>491</v>
      </c>
      <c r="F53" s="15" t="s">
        <v>492</v>
      </c>
      <c r="G53" s="9" t="s">
        <v>21</v>
      </c>
      <c r="H53" s="13" t="s">
        <v>22</v>
      </c>
      <c r="I53" s="13" t="s">
        <v>316</v>
      </c>
      <c r="J53" s="10" t="s">
        <v>24</v>
      </c>
      <c r="K53" s="15" t="s">
        <v>353</v>
      </c>
    </row>
    <row r="54" customFormat="false" ht="15" hidden="false" customHeight="false" outlineLevel="0" collapsed="false">
      <c r="A54" s="6" t="n">
        <v>43</v>
      </c>
      <c r="B54" s="6" t="s">
        <v>493</v>
      </c>
      <c r="C54" s="7" t="s">
        <v>490</v>
      </c>
      <c r="D54" s="6" t="s">
        <v>267</v>
      </c>
      <c r="E54" s="11" t="s">
        <v>494</v>
      </c>
      <c r="F54" s="11" t="s">
        <v>495</v>
      </c>
      <c r="G54" s="9" t="s">
        <v>21</v>
      </c>
      <c r="H54" s="7" t="s">
        <v>22</v>
      </c>
      <c r="I54" s="6" t="s">
        <v>99</v>
      </c>
      <c r="J54" s="10" t="s">
        <v>24</v>
      </c>
      <c r="K54" s="8" t="s">
        <v>111</v>
      </c>
    </row>
    <row r="55" customFormat="false" ht="15" hidden="false" customHeight="false" outlineLevel="0" collapsed="false">
      <c r="A55" s="12" t="n">
        <v>44</v>
      </c>
      <c r="B55" s="12" t="s">
        <v>496</v>
      </c>
      <c r="C55" s="13" t="s">
        <v>490</v>
      </c>
      <c r="D55" s="12" t="s">
        <v>267</v>
      </c>
      <c r="E55" s="15" t="s">
        <v>497</v>
      </c>
      <c r="F55" s="15" t="s">
        <v>498</v>
      </c>
      <c r="G55" s="9" t="s">
        <v>21</v>
      </c>
      <c r="H55" s="13" t="s">
        <v>22</v>
      </c>
      <c r="I55" s="12" t="s">
        <v>99</v>
      </c>
      <c r="J55" s="10" t="s">
        <v>24</v>
      </c>
      <c r="K55" s="15" t="s">
        <v>353</v>
      </c>
    </row>
    <row r="56" customFormat="false" ht="15" hidden="false" customHeight="false" outlineLevel="0" collapsed="false">
      <c r="A56" s="6" t="n">
        <v>45</v>
      </c>
      <c r="B56" s="6" t="s">
        <v>499</v>
      </c>
      <c r="C56" s="7" t="s">
        <v>490</v>
      </c>
      <c r="D56" s="6" t="s">
        <v>311</v>
      </c>
      <c r="E56" s="8" t="s">
        <v>500</v>
      </c>
      <c r="F56" s="11" t="s">
        <v>501</v>
      </c>
      <c r="G56" s="9" t="s">
        <v>21</v>
      </c>
      <c r="H56" s="7" t="s">
        <v>22</v>
      </c>
      <c r="I56" s="7" t="s">
        <v>316</v>
      </c>
      <c r="J56" s="7" t="s">
        <v>34</v>
      </c>
      <c r="K56" s="11" t="s">
        <v>353</v>
      </c>
    </row>
    <row r="57" customFormat="false" ht="12.65" hidden="false" customHeight="false" outlineLevel="0" collapsed="false">
      <c r="A57" s="5" t="s">
        <v>502</v>
      </c>
      <c r="B57" s="5"/>
      <c r="C57" s="5"/>
      <c r="D57" s="5"/>
      <c r="E57" s="5"/>
      <c r="F57" s="5"/>
      <c r="G57" s="5"/>
      <c r="H57" s="5"/>
      <c r="I57" s="5"/>
      <c r="J57" s="5"/>
      <c r="K57" s="5"/>
    </row>
    <row r="58" customFormat="false" ht="15" hidden="false" customHeight="false" outlineLevel="0" collapsed="false">
      <c r="A58" s="12" t="n">
        <v>46</v>
      </c>
      <c r="B58" s="12" t="s">
        <v>503</v>
      </c>
      <c r="C58" s="13" t="s">
        <v>504</v>
      </c>
      <c r="D58" s="12" t="s">
        <v>311</v>
      </c>
      <c r="E58" s="14" t="s">
        <v>505</v>
      </c>
      <c r="F58" s="15" t="s">
        <v>506</v>
      </c>
      <c r="G58" s="16" t="s">
        <v>34</v>
      </c>
      <c r="H58" s="13" t="s">
        <v>22</v>
      </c>
      <c r="I58" s="13" t="s">
        <v>316</v>
      </c>
      <c r="J58" s="10" t="s">
        <v>24</v>
      </c>
      <c r="K58" s="15" t="s">
        <v>353</v>
      </c>
    </row>
    <row r="59" customFormat="false" ht="15" hidden="false" customHeight="false" outlineLevel="0" collapsed="false">
      <c r="A59" s="6" t="n">
        <v>47</v>
      </c>
      <c r="B59" s="6" t="s">
        <v>507</v>
      </c>
      <c r="C59" s="7" t="s">
        <v>504</v>
      </c>
      <c r="D59" s="6" t="s">
        <v>311</v>
      </c>
      <c r="E59" s="8" t="s">
        <v>508</v>
      </c>
      <c r="F59" s="8" t="s">
        <v>509</v>
      </c>
      <c r="G59" s="16" t="s">
        <v>34</v>
      </c>
      <c r="H59" s="7" t="s">
        <v>22</v>
      </c>
      <c r="I59" s="7" t="s">
        <v>316</v>
      </c>
      <c r="J59" s="10" t="s">
        <v>24</v>
      </c>
      <c r="K59" s="11" t="s">
        <v>353</v>
      </c>
    </row>
    <row r="60" customFormat="false" ht="15" hidden="false" customHeight="false" outlineLevel="0" collapsed="false">
      <c r="A60" s="12" t="n">
        <v>48</v>
      </c>
      <c r="B60" s="12" t="s">
        <v>510</v>
      </c>
      <c r="C60" s="13" t="s">
        <v>504</v>
      </c>
      <c r="D60" s="12" t="s">
        <v>311</v>
      </c>
      <c r="E60" s="15" t="s">
        <v>511</v>
      </c>
      <c r="F60" s="15" t="s">
        <v>512</v>
      </c>
      <c r="G60" s="9" t="s">
        <v>21</v>
      </c>
      <c r="H60" s="13" t="s">
        <v>22</v>
      </c>
      <c r="I60" s="13" t="s">
        <v>316</v>
      </c>
      <c r="J60" s="10" t="s">
        <v>24</v>
      </c>
      <c r="K60" s="15" t="s">
        <v>353</v>
      </c>
    </row>
    <row r="61" customFormat="false" ht="15" hidden="false" customHeight="false" outlineLevel="0" collapsed="false">
      <c r="A61" s="6" t="n">
        <v>49</v>
      </c>
      <c r="B61" s="6" t="s">
        <v>513</v>
      </c>
      <c r="C61" s="7" t="s">
        <v>504</v>
      </c>
      <c r="D61" s="6" t="s">
        <v>311</v>
      </c>
      <c r="E61" s="8" t="s">
        <v>514</v>
      </c>
      <c r="F61" s="8" t="s">
        <v>515</v>
      </c>
      <c r="G61" s="9" t="s">
        <v>21</v>
      </c>
      <c r="H61" s="7" t="s">
        <v>22</v>
      </c>
      <c r="I61" s="7" t="s">
        <v>316</v>
      </c>
      <c r="J61" s="10" t="s">
        <v>24</v>
      </c>
      <c r="K61" s="11" t="s">
        <v>353</v>
      </c>
    </row>
  </sheetData>
  <autoFilter ref="A4:K61"/>
  <mergeCells count="10">
    <mergeCell ref="A1:K1"/>
    <mergeCell ref="A2:K2"/>
    <mergeCell ref="A5:K5"/>
    <mergeCell ref="A14:K14"/>
    <mergeCell ref="A23:K23"/>
    <mergeCell ref="A32:K32"/>
    <mergeCell ref="A39:K39"/>
    <mergeCell ref="A46:K46"/>
    <mergeCell ref="A52:K52"/>
    <mergeCell ref="A57:K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8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30"/>
  </cols>
  <sheetData>
    <row r="1" customFormat="false" ht="34.5" hidden="false" customHeight="true" outlineLevel="0" collapsed="false">
      <c r="A1" s="18" t="s">
        <v>516</v>
      </c>
      <c r="B1" s="18"/>
      <c r="C1" s="18"/>
      <c r="D1" s="18"/>
      <c r="E1" s="18"/>
      <c r="F1" s="18"/>
    </row>
    <row r="3" customFormat="false" ht="15" hidden="false" customHeight="false" outlineLevel="0" collapsed="false">
      <c r="A3" s="20" t="s">
        <v>517</v>
      </c>
    </row>
    <row r="4" customFormat="false" ht="15" hidden="false" customHeight="false" outlineLevel="0" collapsed="false">
      <c r="A4" s="4" t="s">
        <v>4</v>
      </c>
      <c r="B4" s="4" t="s">
        <v>518</v>
      </c>
      <c r="C4" s="4" t="s">
        <v>519</v>
      </c>
      <c r="D4" s="3" t="s">
        <v>11</v>
      </c>
      <c r="E4" s="4" t="s">
        <v>520</v>
      </c>
      <c r="F4" s="4" t="s">
        <v>521</v>
      </c>
    </row>
    <row r="5" customFormat="false" ht="15" hidden="false" customHeight="false" outlineLevel="0" collapsed="false">
      <c r="A5" s="7" t="s">
        <v>522</v>
      </c>
      <c r="B5" s="6" t="s">
        <v>16</v>
      </c>
      <c r="C5" s="6" t="n">
        <v>16</v>
      </c>
      <c r="D5" s="6" t="s">
        <v>523</v>
      </c>
      <c r="E5" s="6" t="n">
        <v>2</v>
      </c>
      <c r="F5" s="11" t="s">
        <v>524</v>
      </c>
    </row>
    <row r="6" customFormat="false" ht="15" hidden="false" customHeight="false" outlineLevel="0" collapsed="false">
      <c r="A6" s="7" t="s">
        <v>525</v>
      </c>
      <c r="B6" s="6" t="s">
        <v>94</v>
      </c>
      <c r="C6" s="6" t="n">
        <v>21</v>
      </c>
      <c r="D6" s="6" t="s">
        <v>526</v>
      </c>
      <c r="E6" s="6" t="n">
        <v>5</v>
      </c>
      <c r="F6" s="11" t="s">
        <v>527</v>
      </c>
    </row>
    <row r="7" customFormat="false" ht="15" hidden="false" customHeight="false" outlineLevel="0" collapsed="false">
      <c r="A7" s="7" t="s">
        <v>528</v>
      </c>
      <c r="B7" s="6" t="s">
        <v>193</v>
      </c>
      <c r="C7" s="6" t="n">
        <v>8</v>
      </c>
      <c r="D7" s="6" t="s">
        <v>526</v>
      </c>
      <c r="E7" s="6" t="n">
        <v>1</v>
      </c>
      <c r="F7" s="8" t="s">
        <v>529</v>
      </c>
    </row>
    <row r="8" customFormat="false" ht="15" hidden="false" customHeight="false" outlineLevel="0" collapsed="false">
      <c r="A8" s="7" t="s">
        <v>530</v>
      </c>
      <c r="B8" s="6" t="s">
        <v>229</v>
      </c>
      <c r="C8" s="6" t="n">
        <v>10</v>
      </c>
      <c r="D8" s="6" t="s">
        <v>526</v>
      </c>
      <c r="E8" s="6" t="n">
        <v>1</v>
      </c>
      <c r="F8" s="8" t="s">
        <v>531</v>
      </c>
    </row>
    <row r="9" customFormat="false" ht="15" hidden="false" customHeight="false" outlineLevel="0" collapsed="false">
      <c r="A9" s="7" t="s">
        <v>532</v>
      </c>
      <c r="B9" s="6" t="s">
        <v>267</v>
      </c>
      <c r="C9" s="6" t="n">
        <v>12</v>
      </c>
      <c r="D9" s="6" t="s">
        <v>526</v>
      </c>
      <c r="E9" s="6" t="n">
        <v>2</v>
      </c>
      <c r="F9" s="11" t="s">
        <v>533</v>
      </c>
    </row>
    <row r="10" customFormat="false" ht="15" hidden="false" customHeight="false" outlineLevel="0" collapsed="false">
      <c r="A10" s="7" t="s">
        <v>534</v>
      </c>
      <c r="B10" s="6" t="s">
        <v>311</v>
      </c>
      <c r="C10" s="6" t="n">
        <v>6</v>
      </c>
      <c r="D10" s="7" t="s">
        <v>316</v>
      </c>
      <c r="E10" s="6" t="n">
        <v>2</v>
      </c>
      <c r="F10" s="8" t="s">
        <v>535</v>
      </c>
    </row>
    <row r="11" customFormat="false" ht="15" hidden="false" customHeight="false" outlineLevel="0" collapsed="false">
      <c r="A11" s="21" t="s">
        <v>536</v>
      </c>
      <c r="B11" s="22"/>
      <c r="C11" s="21" t="n">
        <f aca="false">SUM(C5:C10)</f>
        <v>73</v>
      </c>
      <c r="D11" s="22"/>
      <c r="E11" s="21" t="n">
        <f aca="false">SUM(E5:E10)</f>
        <v>13</v>
      </c>
      <c r="F11" s="22"/>
    </row>
    <row r="13" customFormat="false" ht="15" hidden="false" customHeight="false" outlineLevel="0" collapsed="false">
      <c r="A13" s="20" t="s">
        <v>537</v>
      </c>
    </row>
    <row r="14" customFormat="false" ht="15" hidden="false" customHeight="false" outlineLevel="0" collapsed="false">
      <c r="A14" s="4" t="s">
        <v>347</v>
      </c>
      <c r="B14" s="4" t="s">
        <v>518</v>
      </c>
      <c r="C14" s="4" t="s">
        <v>519</v>
      </c>
      <c r="D14" s="4" t="s">
        <v>520</v>
      </c>
    </row>
    <row r="15" customFormat="false" ht="15" hidden="false" customHeight="false" outlineLevel="0" collapsed="false">
      <c r="A15" s="7" t="s">
        <v>350</v>
      </c>
      <c r="B15" s="6" t="s">
        <v>538</v>
      </c>
      <c r="C15" s="6" t="n">
        <v>8</v>
      </c>
      <c r="D15" s="6" t="n">
        <v>3</v>
      </c>
    </row>
    <row r="16" customFormat="false" ht="15" hidden="false" customHeight="false" outlineLevel="0" collapsed="false">
      <c r="A16" s="7" t="s">
        <v>377</v>
      </c>
      <c r="B16" s="6" t="s">
        <v>539</v>
      </c>
      <c r="C16" s="6" t="n">
        <v>8</v>
      </c>
      <c r="D16" s="6" t="n">
        <v>2</v>
      </c>
    </row>
    <row r="17" customFormat="false" ht="15" hidden="false" customHeight="false" outlineLevel="0" collapsed="false">
      <c r="A17" s="7" t="s">
        <v>405</v>
      </c>
      <c r="B17" s="6" t="s">
        <v>540</v>
      </c>
      <c r="C17" s="6" t="n">
        <v>8</v>
      </c>
      <c r="D17" s="6" t="n">
        <v>1</v>
      </c>
    </row>
    <row r="18" customFormat="false" ht="15" hidden="false" customHeight="false" outlineLevel="0" collapsed="false">
      <c r="A18" s="7" t="s">
        <v>432</v>
      </c>
      <c r="B18" s="6" t="s">
        <v>541</v>
      </c>
      <c r="C18" s="6" t="n">
        <v>6</v>
      </c>
      <c r="D18" s="6" t="n">
        <v>2</v>
      </c>
    </row>
    <row r="19" customFormat="false" ht="15" hidden="false" customHeight="false" outlineLevel="0" collapsed="false">
      <c r="A19" s="7" t="s">
        <v>452</v>
      </c>
      <c r="B19" s="6" t="s">
        <v>542</v>
      </c>
      <c r="C19" s="6" t="n">
        <v>6</v>
      </c>
      <c r="D19" s="6" t="n">
        <v>1</v>
      </c>
    </row>
    <row r="20" customFormat="false" ht="15" hidden="false" customHeight="false" outlineLevel="0" collapsed="false">
      <c r="A20" s="7" t="s">
        <v>473</v>
      </c>
      <c r="B20" s="6" t="s">
        <v>543</v>
      </c>
      <c r="C20" s="6" t="n">
        <v>5</v>
      </c>
      <c r="D20" s="6" t="n">
        <v>3</v>
      </c>
    </row>
    <row r="21" customFormat="false" ht="15" hidden="false" customHeight="false" outlineLevel="0" collapsed="false">
      <c r="A21" s="7" t="s">
        <v>490</v>
      </c>
      <c r="B21" s="6" t="s">
        <v>544</v>
      </c>
      <c r="C21" s="6" t="n">
        <v>4</v>
      </c>
      <c r="D21" s="6" t="n">
        <v>0</v>
      </c>
    </row>
    <row r="22" customFormat="false" ht="15" hidden="false" customHeight="false" outlineLevel="0" collapsed="false">
      <c r="A22" s="7" t="s">
        <v>504</v>
      </c>
      <c r="B22" s="6" t="s">
        <v>545</v>
      </c>
      <c r="C22" s="6" t="n">
        <v>4</v>
      </c>
      <c r="D22" s="6" t="n">
        <v>0</v>
      </c>
    </row>
    <row r="23" customFormat="false" ht="15" hidden="false" customHeight="false" outlineLevel="0" collapsed="false">
      <c r="A23" s="21" t="s">
        <v>536</v>
      </c>
      <c r="B23" s="22"/>
      <c r="C23" s="21" t="n">
        <f aca="false">SUM(C15:C22)</f>
        <v>49</v>
      </c>
      <c r="D23" s="21" t="n">
        <f aca="false">SUM(D15:D22)</f>
        <v>12</v>
      </c>
    </row>
    <row r="25" customFormat="false" ht="15" hidden="false" customHeight="false" outlineLevel="0" collapsed="false">
      <c r="A25" s="20" t="s">
        <v>546</v>
      </c>
    </row>
    <row r="26" customFormat="false" ht="15" hidden="false" customHeight="false" outlineLevel="0" collapsed="false">
      <c r="A26" s="4" t="s">
        <v>547</v>
      </c>
      <c r="B26" s="4" t="s">
        <v>519</v>
      </c>
      <c r="C26" s="4" t="s">
        <v>548</v>
      </c>
    </row>
    <row r="27" customFormat="false" ht="15" hidden="false" customHeight="false" outlineLevel="0" collapsed="false">
      <c r="A27" s="7" t="s">
        <v>549</v>
      </c>
      <c r="B27" s="6" t="n">
        <f aca="false">C11</f>
        <v>73</v>
      </c>
      <c r="C27" s="23" t="n">
        <f aca="false">B27/B29</f>
        <v>0.598360655737705</v>
      </c>
    </row>
    <row r="28" customFormat="false" ht="15" hidden="false" customHeight="false" outlineLevel="0" collapsed="false">
      <c r="A28" s="7" t="s">
        <v>550</v>
      </c>
      <c r="B28" s="6" t="n">
        <f aca="false">C23</f>
        <v>49</v>
      </c>
      <c r="C28" s="23" t="n">
        <f aca="false">B28/B29</f>
        <v>0.401639344262295</v>
      </c>
    </row>
    <row r="29" customFormat="false" ht="15" hidden="false" customHeight="false" outlineLevel="0" collapsed="false">
      <c r="A29" s="21" t="s">
        <v>536</v>
      </c>
      <c r="B29" s="21" t="n">
        <f aca="false">B27+B28</f>
        <v>122</v>
      </c>
      <c r="C29" s="21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45"/>
    <col collapsed="false" customWidth="true" hidden="false" outlineLevel="0" max="8" min="8" style="0" width="18"/>
  </cols>
  <sheetData>
    <row r="1" customFormat="false" ht="34.5" hidden="false" customHeight="true" outlineLevel="0" collapsed="false">
      <c r="A1" s="24" t="s">
        <v>551</v>
      </c>
      <c r="B1" s="24"/>
      <c r="C1" s="24"/>
      <c r="D1" s="24"/>
      <c r="E1" s="24"/>
      <c r="F1" s="24"/>
      <c r="G1" s="24"/>
      <c r="H1" s="24"/>
    </row>
    <row r="2" customFormat="false" ht="11.9" hidden="false" customHeight="false" outlineLevel="0" collapsed="false">
      <c r="A2" s="2" t="s">
        <v>552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553</v>
      </c>
      <c r="C4" s="4" t="s">
        <v>554</v>
      </c>
      <c r="D4" s="4" t="s">
        <v>555</v>
      </c>
      <c r="E4" s="4" t="s">
        <v>4</v>
      </c>
      <c r="F4" s="4" t="s">
        <v>556</v>
      </c>
      <c r="G4" s="4" t="s">
        <v>557</v>
      </c>
      <c r="H4" s="4" t="s">
        <v>521</v>
      </c>
    </row>
    <row r="5" customFormat="false" ht="22.35" hidden="false" customHeight="false" outlineLevel="0" collapsed="false">
      <c r="A5" s="6" t="n">
        <v>1</v>
      </c>
      <c r="B5" s="8" t="s">
        <v>558</v>
      </c>
      <c r="C5" s="11" t="s">
        <v>559</v>
      </c>
      <c r="D5" s="11" t="s">
        <v>560</v>
      </c>
      <c r="E5" s="6" t="s">
        <v>311</v>
      </c>
      <c r="F5" s="11" t="s">
        <v>561</v>
      </c>
      <c r="G5" s="8" t="s">
        <v>562</v>
      </c>
      <c r="H5" s="11" t="s">
        <v>563</v>
      </c>
    </row>
    <row r="6" customFormat="false" ht="15" hidden="false" customHeight="false" outlineLevel="0" collapsed="false">
      <c r="A6" s="12" t="n">
        <v>2</v>
      </c>
      <c r="B6" s="14" t="s">
        <v>564</v>
      </c>
      <c r="C6" s="15" t="s">
        <v>559</v>
      </c>
      <c r="D6" s="15" t="s">
        <v>565</v>
      </c>
      <c r="E6" s="12" t="s">
        <v>311</v>
      </c>
      <c r="F6" s="15" t="s">
        <v>559</v>
      </c>
      <c r="G6" s="14" t="s">
        <v>566</v>
      </c>
      <c r="H6" s="14" t="s">
        <v>567</v>
      </c>
    </row>
    <row r="7" customFormat="false" ht="15" hidden="false" customHeight="false" outlineLevel="0" collapsed="false">
      <c r="A7" s="6" t="n">
        <v>3</v>
      </c>
      <c r="B7" s="8" t="s">
        <v>568</v>
      </c>
      <c r="C7" s="8" t="s">
        <v>569</v>
      </c>
      <c r="D7" s="11" t="s">
        <v>570</v>
      </c>
      <c r="E7" s="6" t="s">
        <v>571</v>
      </c>
      <c r="F7" s="11" t="s">
        <v>106</v>
      </c>
      <c r="G7" s="8" t="s">
        <v>572</v>
      </c>
      <c r="H7" s="11"/>
    </row>
    <row r="8" customFormat="false" ht="15" hidden="false" customHeight="false" outlineLevel="0" collapsed="false">
      <c r="A8" s="12" t="n">
        <v>4</v>
      </c>
      <c r="B8" s="15"/>
      <c r="C8" s="14" t="s">
        <v>573</v>
      </c>
      <c r="D8" s="15" t="s">
        <v>574</v>
      </c>
      <c r="E8" s="12" t="s">
        <v>571</v>
      </c>
      <c r="F8" s="15" t="s">
        <v>106</v>
      </c>
      <c r="G8" s="14" t="s">
        <v>575</v>
      </c>
      <c r="H8" s="15"/>
    </row>
    <row r="9" customFormat="false" ht="15" hidden="false" customHeight="false" outlineLevel="0" collapsed="false">
      <c r="A9" s="6" t="n">
        <v>5</v>
      </c>
      <c r="B9" s="11"/>
      <c r="C9" s="8" t="s">
        <v>576</v>
      </c>
      <c r="D9" s="11" t="s">
        <v>577</v>
      </c>
      <c r="E9" s="6" t="s">
        <v>571</v>
      </c>
      <c r="F9" s="11" t="s">
        <v>106</v>
      </c>
      <c r="G9" s="8" t="s">
        <v>578</v>
      </c>
      <c r="H9" s="11"/>
    </row>
    <row r="10" customFormat="false" ht="15" hidden="false" customHeight="false" outlineLevel="0" collapsed="false">
      <c r="A10" s="12" t="n">
        <v>6</v>
      </c>
      <c r="B10" s="15"/>
      <c r="C10" s="14" t="s">
        <v>579</v>
      </c>
      <c r="D10" s="15" t="s">
        <v>580</v>
      </c>
      <c r="E10" s="12" t="s">
        <v>571</v>
      </c>
      <c r="F10" s="15" t="s">
        <v>106</v>
      </c>
      <c r="G10" s="14" t="s">
        <v>581</v>
      </c>
      <c r="H10" s="15"/>
    </row>
    <row r="11" customFormat="false" ht="15" hidden="false" customHeight="false" outlineLevel="0" collapsed="false">
      <c r="A11" s="6" t="n">
        <v>7</v>
      </c>
      <c r="B11" s="11"/>
      <c r="C11" s="8" t="s">
        <v>582</v>
      </c>
      <c r="D11" s="11" t="s">
        <v>583</v>
      </c>
      <c r="E11" s="6" t="s">
        <v>571</v>
      </c>
      <c r="F11" s="11" t="s">
        <v>584</v>
      </c>
      <c r="G11" s="8" t="s">
        <v>585</v>
      </c>
      <c r="H11" s="11"/>
    </row>
    <row r="12" customFormat="false" ht="15" hidden="false" customHeight="false" outlineLevel="0" collapsed="false">
      <c r="A12" s="12" t="n">
        <v>8</v>
      </c>
      <c r="B12" s="15"/>
      <c r="C12" s="14" t="s">
        <v>586</v>
      </c>
      <c r="D12" s="15" t="s">
        <v>587</v>
      </c>
      <c r="E12" s="12" t="s">
        <v>571</v>
      </c>
      <c r="F12" s="15" t="s">
        <v>106</v>
      </c>
      <c r="G12" s="14" t="s">
        <v>588</v>
      </c>
      <c r="H12" s="15"/>
    </row>
    <row r="13" customFormat="false" ht="15" hidden="false" customHeight="false" outlineLevel="0" collapsed="false">
      <c r="A13" s="6" t="n">
        <v>9</v>
      </c>
      <c r="B13" s="11"/>
      <c r="C13" s="8" t="s">
        <v>589</v>
      </c>
      <c r="D13" s="11" t="s">
        <v>590</v>
      </c>
      <c r="E13" s="6" t="s">
        <v>571</v>
      </c>
      <c r="F13" s="11" t="s">
        <v>559</v>
      </c>
      <c r="G13" s="8" t="s">
        <v>591</v>
      </c>
      <c r="H13" s="11"/>
    </row>
    <row r="14" customFormat="false" ht="15" hidden="false" customHeight="false" outlineLevel="0" collapsed="false">
      <c r="A14" s="12" t="n">
        <v>10</v>
      </c>
      <c r="B14" s="15"/>
      <c r="C14" s="14" t="s">
        <v>592</v>
      </c>
      <c r="D14" s="15" t="s">
        <v>593</v>
      </c>
      <c r="E14" s="12" t="s">
        <v>94</v>
      </c>
      <c r="F14" s="15" t="s">
        <v>93</v>
      </c>
      <c r="G14" s="14" t="s">
        <v>594</v>
      </c>
      <c r="H14" s="15" t="s">
        <v>595</v>
      </c>
    </row>
    <row r="15" customFormat="false" ht="15" hidden="false" customHeight="false" outlineLevel="0" collapsed="false">
      <c r="A15" s="6" t="n">
        <v>11</v>
      </c>
      <c r="B15" s="11"/>
      <c r="C15" s="8" t="s">
        <v>596</v>
      </c>
      <c r="D15" s="11" t="s">
        <v>597</v>
      </c>
      <c r="E15" s="6" t="s">
        <v>94</v>
      </c>
      <c r="F15" s="11" t="s">
        <v>598</v>
      </c>
      <c r="G15" s="11" t="s">
        <v>599</v>
      </c>
      <c r="H15" s="8" t="s">
        <v>600</v>
      </c>
    </row>
    <row r="16" customFormat="false" ht="15" hidden="false" customHeight="false" outlineLevel="0" collapsed="false">
      <c r="A16" s="12" t="n">
        <v>12</v>
      </c>
      <c r="B16" s="15"/>
      <c r="C16" s="14" t="s">
        <v>601</v>
      </c>
      <c r="D16" s="15" t="s">
        <v>602</v>
      </c>
      <c r="E16" s="12" t="s">
        <v>193</v>
      </c>
      <c r="F16" s="15" t="s">
        <v>603</v>
      </c>
      <c r="G16" s="14" t="s">
        <v>604</v>
      </c>
      <c r="H16" s="15"/>
    </row>
    <row r="17" customFormat="false" ht="15" hidden="false" customHeight="false" outlineLevel="0" collapsed="false">
      <c r="A17" s="6" t="n">
        <v>13</v>
      </c>
      <c r="B17" s="11"/>
      <c r="C17" s="8" t="s">
        <v>605</v>
      </c>
      <c r="D17" s="11" t="s">
        <v>606</v>
      </c>
      <c r="E17" s="6" t="s">
        <v>94</v>
      </c>
      <c r="F17" s="11" t="s">
        <v>607</v>
      </c>
      <c r="G17" s="8" t="s">
        <v>608</v>
      </c>
      <c r="H17" s="11"/>
    </row>
    <row r="18" customFormat="false" ht="15" hidden="false" customHeight="false" outlineLevel="0" collapsed="false">
      <c r="A18" s="12" t="n">
        <v>14</v>
      </c>
      <c r="B18" s="14" t="s">
        <v>17</v>
      </c>
      <c r="C18" s="14" t="s">
        <v>609</v>
      </c>
      <c r="D18" s="15" t="s">
        <v>610</v>
      </c>
      <c r="E18" s="12" t="s">
        <v>16</v>
      </c>
      <c r="F18" s="15" t="s">
        <v>611</v>
      </c>
      <c r="G18" s="14" t="s">
        <v>612</v>
      </c>
      <c r="H18" s="15"/>
    </row>
    <row r="19" customFormat="false" ht="22.35" hidden="false" customHeight="false" outlineLevel="0" collapsed="false">
      <c r="A19" s="6" t="n">
        <v>15</v>
      </c>
      <c r="B19" s="11"/>
      <c r="C19" s="8" t="s">
        <v>613</v>
      </c>
      <c r="D19" s="11" t="s">
        <v>614</v>
      </c>
      <c r="E19" s="6" t="s">
        <v>16</v>
      </c>
      <c r="F19" s="11" t="s">
        <v>615</v>
      </c>
      <c r="G19" s="8" t="s">
        <v>616</v>
      </c>
      <c r="H19" s="11"/>
    </row>
    <row r="20" customFormat="false" ht="15" hidden="false" customHeight="false" outlineLevel="0" collapsed="false">
      <c r="A20" s="12" t="n">
        <v>16</v>
      </c>
      <c r="B20" s="15"/>
      <c r="C20" s="14" t="s">
        <v>617</v>
      </c>
      <c r="D20" s="15" t="s">
        <v>618</v>
      </c>
      <c r="E20" s="12" t="s">
        <v>16</v>
      </c>
      <c r="F20" s="15" t="s">
        <v>619</v>
      </c>
      <c r="G20" s="14" t="s">
        <v>620</v>
      </c>
      <c r="H20" s="15" t="s">
        <v>621</v>
      </c>
    </row>
    <row r="21" customFormat="false" ht="15" hidden="false" customHeight="false" outlineLevel="0" collapsed="false">
      <c r="A21" s="6" t="n">
        <v>17</v>
      </c>
      <c r="B21" s="11"/>
      <c r="C21" s="8" t="s">
        <v>622</v>
      </c>
      <c r="D21" s="11" t="s">
        <v>623</v>
      </c>
      <c r="E21" s="6" t="s">
        <v>16</v>
      </c>
      <c r="F21" s="11" t="s">
        <v>619</v>
      </c>
      <c r="G21" s="8" t="s">
        <v>624</v>
      </c>
      <c r="H21" s="11" t="s">
        <v>625</v>
      </c>
    </row>
    <row r="22" customFormat="false" ht="15" hidden="false" customHeight="false" outlineLevel="0" collapsed="false">
      <c r="A22" s="12" t="n">
        <v>18</v>
      </c>
      <c r="B22" s="14" t="s">
        <v>82</v>
      </c>
      <c r="C22" s="14" t="s">
        <v>626</v>
      </c>
      <c r="D22" s="15" t="s">
        <v>627</v>
      </c>
      <c r="E22" s="12" t="s">
        <v>16</v>
      </c>
      <c r="F22" s="15" t="s">
        <v>628</v>
      </c>
      <c r="G22" s="14" t="s">
        <v>629</v>
      </c>
      <c r="H22" s="15"/>
    </row>
    <row r="23" customFormat="false" ht="22.35" hidden="false" customHeight="false" outlineLevel="0" collapsed="false">
      <c r="A23" s="6" t="n">
        <v>19</v>
      </c>
      <c r="B23" s="11"/>
      <c r="C23" s="8" t="s">
        <v>630</v>
      </c>
      <c r="D23" s="11" t="s">
        <v>631</v>
      </c>
      <c r="E23" s="6" t="s">
        <v>16</v>
      </c>
      <c r="F23" s="11" t="s">
        <v>632</v>
      </c>
      <c r="G23" s="8" t="s">
        <v>633</v>
      </c>
      <c r="H23" s="11" t="s">
        <v>634</v>
      </c>
    </row>
    <row r="24" customFormat="false" ht="15" hidden="false" customHeight="false" outlineLevel="0" collapsed="false">
      <c r="A24" s="12" t="n">
        <v>20</v>
      </c>
      <c r="B24" s="15"/>
      <c r="C24" s="14" t="s">
        <v>635</v>
      </c>
      <c r="D24" s="15" t="s">
        <v>636</v>
      </c>
      <c r="E24" s="12" t="s">
        <v>16</v>
      </c>
      <c r="F24" s="15" t="s">
        <v>60</v>
      </c>
      <c r="G24" s="14" t="s">
        <v>637</v>
      </c>
      <c r="H24" s="15"/>
    </row>
    <row r="25" customFormat="false" ht="15" hidden="false" customHeight="false" outlineLevel="0" collapsed="false">
      <c r="A25" s="16" t="n">
        <v>21</v>
      </c>
      <c r="B25" s="25"/>
      <c r="C25" s="26" t="s">
        <v>638</v>
      </c>
      <c r="D25" s="25" t="s">
        <v>639</v>
      </c>
      <c r="E25" s="27" t="s">
        <v>16</v>
      </c>
      <c r="F25" s="25" t="s">
        <v>559</v>
      </c>
      <c r="G25" s="25" t="s">
        <v>640</v>
      </c>
      <c r="H25" s="26" t="s">
        <v>641</v>
      </c>
    </row>
    <row r="26" customFormat="false" ht="15" hidden="false" customHeight="false" outlineLevel="0" collapsed="false">
      <c r="A26" s="27" t="n">
        <v>22</v>
      </c>
      <c r="B26" s="25"/>
      <c r="C26" s="26" t="s">
        <v>642</v>
      </c>
      <c r="D26" s="25" t="s">
        <v>643</v>
      </c>
      <c r="E26" s="27" t="s">
        <v>16</v>
      </c>
      <c r="F26" s="25" t="s">
        <v>559</v>
      </c>
      <c r="G26" s="25" t="s">
        <v>640</v>
      </c>
      <c r="H26" s="26" t="s">
        <v>641</v>
      </c>
    </row>
    <row r="27" customFormat="false" ht="15" hidden="false" customHeight="false" outlineLevel="0" collapsed="false">
      <c r="A27" s="6" t="n">
        <v>23</v>
      </c>
      <c r="B27" s="8" t="s">
        <v>118</v>
      </c>
      <c r="C27" s="8" t="s">
        <v>644</v>
      </c>
      <c r="D27" s="11" t="s">
        <v>645</v>
      </c>
      <c r="E27" s="6" t="s">
        <v>94</v>
      </c>
      <c r="F27" s="11" t="s">
        <v>646</v>
      </c>
      <c r="G27" s="8" t="s">
        <v>647</v>
      </c>
      <c r="H27" s="11"/>
    </row>
    <row r="28" customFormat="false" ht="15" hidden="false" customHeight="false" outlineLevel="0" collapsed="false">
      <c r="A28" s="27" t="n">
        <v>24</v>
      </c>
      <c r="B28" s="25"/>
      <c r="C28" s="26" t="s">
        <v>648</v>
      </c>
      <c r="D28" s="25" t="s">
        <v>649</v>
      </c>
      <c r="E28" s="27" t="s">
        <v>94</v>
      </c>
      <c r="F28" s="25" t="s">
        <v>650</v>
      </c>
      <c r="G28" s="25" t="s">
        <v>640</v>
      </c>
      <c r="H28" s="26" t="s">
        <v>641</v>
      </c>
    </row>
    <row r="29" customFormat="false" ht="22.35" hidden="false" customHeight="false" outlineLevel="0" collapsed="false">
      <c r="A29" s="27" t="n">
        <v>25</v>
      </c>
      <c r="B29" s="25"/>
      <c r="C29" s="26" t="s">
        <v>651</v>
      </c>
      <c r="D29" s="25" t="s">
        <v>652</v>
      </c>
      <c r="E29" s="27" t="s">
        <v>94</v>
      </c>
      <c r="F29" s="25" t="s">
        <v>653</v>
      </c>
      <c r="G29" s="25" t="s">
        <v>640</v>
      </c>
      <c r="H29" s="26" t="s">
        <v>641</v>
      </c>
    </row>
    <row r="30" customFormat="false" ht="15" hidden="false" customHeight="false" outlineLevel="0" collapsed="false">
      <c r="A30" s="12" t="n">
        <v>26</v>
      </c>
      <c r="B30" s="15"/>
      <c r="C30" s="14" t="s">
        <v>654</v>
      </c>
      <c r="D30" s="15" t="s">
        <v>655</v>
      </c>
      <c r="E30" s="12" t="s">
        <v>94</v>
      </c>
      <c r="F30" s="15" t="s">
        <v>656</v>
      </c>
      <c r="G30" s="14" t="s">
        <v>657</v>
      </c>
      <c r="H30" s="14" t="s">
        <v>658</v>
      </c>
    </row>
    <row r="31" customFormat="false" ht="15" hidden="false" customHeight="false" outlineLevel="0" collapsed="false">
      <c r="A31" s="27" t="n">
        <v>27</v>
      </c>
      <c r="B31" s="25"/>
      <c r="C31" s="26" t="s">
        <v>659</v>
      </c>
      <c r="D31" s="25" t="s">
        <v>660</v>
      </c>
      <c r="E31" s="27" t="s">
        <v>94</v>
      </c>
      <c r="F31" s="25" t="s">
        <v>607</v>
      </c>
      <c r="G31" s="25" t="s">
        <v>640</v>
      </c>
      <c r="H31" s="26" t="s">
        <v>641</v>
      </c>
    </row>
    <row r="32" customFormat="false" ht="15" hidden="false" customHeight="false" outlineLevel="0" collapsed="false">
      <c r="A32" s="12" t="n">
        <v>28</v>
      </c>
      <c r="B32" s="15"/>
      <c r="C32" s="14" t="s">
        <v>165</v>
      </c>
      <c r="D32" s="15" t="s">
        <v>661</v>
      </c>
      <c r="E32" s="12" t="s">
        <v>94</v>
      </c>
      <c r="F32" s="15" t="s">
        <v>662</v>
      </c>
      <c r="G32" s="14" t="s">
        <v>663</v>
      </c>
      <c r="H32" s="15"/>
    </row>
    <row r="33" customFormat="false" ht="15" hidden="false" customHeight="false" outlineLevel="0" collapsed="false">
      <c r="A33" s="6" t="n">
        <v>29</v>
      </c>
      <c r="B33" s="11"/>
      <c r="C33" s="8" t="s">
        <v>664</v>
      </c>
      <c r="D33" s="11" t="s">
        <v>665</v>
      </c>
      <c r="E33" s="6" t="s">
        <v>94</v>
      </c>
      <c r="F33" s="11" t="s">
        <v>666</v>
      </c>
      <c r="G33" s="11" t="s">
        <v>640</v>
      </c>
      <c r="H33" s="11"/>
    </row>
    <row r="34" customFormat="false" ht="15" hidden="false" customHeight="false" outlineLevel="0" collapsed="false">
      <c r="A34" s="27" t="n">
        <v>30</v>
      </c>
      <c r="B34" s="25"/>
      <c r="C34" s="26" t="s">
        <v>667</v>
      </c>
      <c r="D34" s="25" t="s">
        <v>602</v>
      </c>
      <c r="E34" s="27" t="s">
        <v>94</v>
      </c>
      <c r="F34" s="25" t="s">
        <v>192</v>
      </c>
      <c r="G34" s="25" t="s">
        <v>640</v>
      </c>
      <c r="H34" s="26" t="s">
        <v>641</v>
      </c>
    </row>
    <row r="35" customFormat="false" ht="15" hidden="false" customHeight="false" outlineLevel="0" collapsed="false">
      <c r="A35" s="27" t="n">
        <v>31</v>
      </c>
      <c r="B35" s="26" t="s">
        <v>194</v>
      </c>
      <c r="C35" s="26" t="s">
        <v>306</v>
      </c>
      <c r="D35" s="25" t="s">
        <v>668</v>
      </c>
      <c r="E35" s="27" t="s">
        <v>193</v>
      </c>
      <c r="F35" s="25" t="s">
        <v>203</v>
      </c>
      <c r="G35" s="25" t="s">
        <v>640</v>
      </c>
      <c r="H35" s="26" t="s">
        <v>641</v>
      </c>
    </row>
    <row r="36" customFormat="false" ht="15" hidden="false" customHeight="false" outlineLevel="0" collapsed="false">
      <c r="A36" s="27" t="n">
        <v>32</v>
      </c>
      <c r="B36" s="25"/>
      <c r="C36" s="26" t="s">
        <v>669</v>
      </c>
      <c r="D36" s="25" t="s">
        <v>670</v>
      </c>
      <c r="E36" s="27" t="s">
        <v>193</v>
      </c>
      <c r="F36" s="25" t="s">
        <v>671</v>
      </c>
      <c r="G36" s="25" t="s">
        <v>640</v>
      </c>
      <c r="H36" s="26" t="s">
        <v>641</v>
      </c>
    </row>
    <row r="37" customFormat="false" ht="15" hidden="false" customHeight="false" outlineLevel="0" collapsed="false">
      <c r="A37" s="27" t="n">
        <v>33</v>
      </c>
      <c r="B37" s="25"/>
      <c r="C37" s="26" t="s">
        <v>672</v>
      </c>
      <c r="D37" s="25" t="s">
        <v>673</v>
      </c>
      <c r="E37" s="27" t="s">
        <v>193</v>
      </c>
      <c r="F37" s="25" t="s">
        <v>674</v>
      </c>
      <c r="G37" s="25" t="s">
        <v>640</v>
      </c>
      <c r="H37" s="26" t="s">
        <v>641</v>
      </c>
    </row>
    <row r="38" customFormat="false" ht="15" hidden="false" customHeight="false" outlineLevel="0" collapsed="false">
      <c r="A38" s="27" t="n">
        <v>34</v>
      </c>
      <c r="B38" s="26" t="s">
        <v>208</v>
      </c>
      <c r="C38" s="26" t="s">
        <v>675</v>
      </c>
      <c r="D38" s="25" t="s">
        <v>676</v>
      </c>
      <c r="E38" s="27" t="s">
        <v>193</v>
      </c>
      <c r="F38" s="25" t="s">
        <v>677</v>
      </c>
      <c r="G38" s="25" t="s">
        <v>640</v>
      </c>
      <c r="H38" s="26" t="s">
        <v>641</v>
      </c>
    </row>
    <row r="39" customFormat="false" ht="15" hidden="false" customHeight="false" outlineLevel="0" collapsed="false">
      <c r="A39" s="27" t="n">
        <v>35</v>
      </c>
      <c r="B39" s="25"/>
      <c r="C39" s="26" t="s">
        <v>678</v>
      </c>
      <c r="D39" s="25" t="s">
        <v>679</v>
      </c>
      <c r="E39" s="27" t="s">
        <v>193</v>
      </c>
      <c r="F39" s="25" t="s">
        <v>219</v>
      </c>
      <c r="G39" s="25" t="s">
        <v>640</v>
      </c>
      <c r="H39" s="26" t="s">
        <v>641</v>
      </c>
    </row>
    <row r="40" customFormat="false" ht="15" hidden="false" customHeight="false" outlineLevel="0" collapsed="false">
      <c r="A40" s="12" t="n">
        <v>36</v>
      </c>
      <c r="B40" s="14" t="s">
        <v>680</v>
      </c>
      <c r="C40" s="14" t="s">
        <v>681</v>
      </c>
      <c r="D40" s="15" t="s">
        <v>682</v>
      </c>
      <c r="E40" s="12" t="s">
        <v>193</v>
      </c>
      <c r="F40" s="15" t="s">
        <v>215</v>
      </c>
      <c r="G40" s="15" t="s">
        <v>640</v>
      </c>
      <c r="H40" s="15"/>
    </row>
    <row r="41" customFormat="false" ht="15" hidden="false" customHeight="false" outlineLevel="0" collapsed="false">
      <c r="A41" s="6" t="n">
        <v>37</v>
      </c>
      <c r="B41" s="11"/>
      <c r="C41" s="8" t="s">
        <v>683</v>
      </c>
      <c r="D41" s="11" t="s">
        <v>684</v>
      </c>
      <c r="E41" s="6" t="s">
        <v>193</v>
      </c>
      <c r="F41" s="11" t="s">
        <v>215</v>
      </c>
      <c r="G41" s="11" t="s">
        <v>640</v>
      </c>
      <c r="H41" s="11"/>
    </row>
    <row r="42" customFormat="false" ht="15" hidden="false" customHeight="false" outlineLevel="0" collapsed="false">
      <c r="A42" s="27" t="n">
        <v>38</v>
      </c>
      <c r="B42" s="25"/>
      <c r="C42" s="26" t="s">
        <v>685</v>
      </c>
      <c r="D42" s="25" t="s">
        <v>686</v>
      </c>
      <c r="E42" s="27" t="s">
        <v>193</v>
      </c>
      <c r="F42" s="25" t="s">
        <v>559</v>
      </c>
      <c r="G42" s="25" t="s">
        <v>640</v>
      </c>
      <c r="H42" s="26" t="s">
        <v>641</v>
      </c>
    </row>
    <row r="43" customFormat="false" ht="15" hidden="false" customHeight="false" outlineLevel="0" collapsed="false">
      <c r="A43" s="6" t="n">
        <v>39</v>
      </c>
      <c r="B43" s="8" t="s">
        <v>175</v>
      </c>
      <c r="C43" s="8" t="s">
        <v>687</v>
      </c>
      <c r="D43" s="11" t="s">
        <v>688</v>
      </c>
      <c r="E43" s="6" t="s">
        <v>94</v>
      </c>
      <c r="F43" s="11" t="s">
        <v>174</v>
      </c>
      <c r="G43" s="8" t="s">
        <v>689</v>
      </c>
      <c r="H43" s="11"/>
    </row>
    <row r="44" customFormat="false" ht="15" hidden="false" customHeight="false" outlineLevel="0" collapsed="false">
      <c r="A44" s="12" t="n">
        <v>40</v>
      </c>
      <c r="B44" s="15"/>
      <c r="C44" s="14" t="s">
        <v>690</v>
      </c>
      <c r="D44" s="15" t="s">
        <v>691</v>
      </c>
      <c r="E44" s="12" t="s">
        <v>94</v>
      </c>
      <c r="F44" s="15" t="s">
        <v>174</v>
      </c>
      <c r="G44" s="14" t="s">
        <v>692</v>
      </c>
      <c r="H44" s="15"/>
    </row>
    <row r="45" customFormat="false" ht="15" hidden="false" customHeight="false" outlineLevel="0" collapsed="false">
      <c r="A45" s="6" t="n">
        <v>41</v>
      </c>
      <c r="B45" s="11"/>
      <c r="C45" s="8" t="s">
        <v>693</v>
      </c>
      <c r="D45" s="11" t="s">
        <v>694</v>
      </c>
      <c r="E45" s="6" t="s">
        <v>94</v>
      </c>
      <c r="F45" s="11" t="s">
        <v>174</v>
      </c>
      <c r="G45" s="8" t="s">
        <v>695</v>
      </c>
      <c r="H45" s="11"/>
    </row>
    <row r="46" customFormat="false" ht="15" hidden="false" customHeight="false" outlineLevel="0" collapsed="false">
      <c r="A46" s="12" t="n">
        <v>42</v>
      </c>
      <c r="B46" s="15"/>
      <c r="C46" s="14" t="s">
        <v>696</v>
      </c>
      <c r="D46" s="15" t="s">
        <v>697</v>
      </c>
      <c r="E46" s="12" t="s">
        <v>94</v>
      </c>
      <c r="F46" s="15" t="s">
        <v>174</v>
      </c>
      <c r="G46" s="14" t="s">
        <v>698</v>
      </c>
      <c r="H46" s="15"/>
    </row>
    <row r="47" customFormat="false" ht="15" hidden="false" customHeight="false" outlineLevel="0" collapsed="false">
      <c r="A47" s="6" t="n">
        <v>43</v>
      </c>
      <c r="B47" s="8" t="s">
        <v>699</v>
      </c>
      <c r="C47" s="8" t="s">
        <v>700</v>
      </c>
      <c r="D47" s="11" t="s">
        <v>701</v>
      </c>
      <c r="E47" s="6" t="s">
        <v>193</v>
      </c>
      <c r="F47" s="11" t="s">
        <v>702</v>
      </c>
      <c r="G47" s="8" t="s">
        <v>703</v>
      </c>
      <c r="H47" s="11"/>
    </row>
    <row r="48" customFormat="false" ht="15" hidden="false" customHeight="false" outlineLevel="0" collapsed="false">
      <c r="A48" s="12" t="n">
        <v>44</v>
      </c>
      <c r="B48" s="15"/>
      <c r="C48" s="14" t="s">
        <v>704</v>
      </c>
      <c r="D48" s="15" t="s">
        <v>705</v>
      </c>
      <c r="E48" s="12" t="s">
        <v>193</v>
      </c>
      <c r="F48" s="15" t="s">
        <v>30</v>
      </c>
      <c r="G48" s="14" t="s">
        <v>706</v>
      </c>
      <c r="H48" s="15"/>
    </row>
    <row r="49" customFormat="false" ht="15" hidden="false" customHeight="false" outlineLevel="0" collapsed="false">
      <c r="A49" s="6" t="n">
        <v>45</v>
      </c>
      <c r="B49" s="8" t="s">
        <v>330</v>
      </c>
      <c r="C49" s="8" t="s">
        <v>707</v>
      </c>
      <c r="D49" s="11" t="s">
        <v>708</v>
      </c>
      <c r="E49" s="6" t="s">
        <v>311</v>
      </c>
      <c r="F49" s="11" t="s">
        <v>369</v>
      </c>
      <c r="G49" s="8" t="s">
        <v>709</v>
      </c>
      <c r="H49" s="11"/>
    </row>
    <row r="50" customFormat="false" ht="15" hidden="false" customHeight="false" outlineLevel="0" collapsed="false">
      <c r="A50" s="12" t="n">
        <v>46</v>
      </c>
      <c r="B50" s="15"/>
      <c r="C50" s="14" t="s">
        <v>710</v>
      </c>
      <c r="D50" s="15" t="s">
        <v>711</v>
      </c>
      <c r="E50" s="12" t="s">
        <v>311</v>
      </c>
      <c r="F50" s="15" t="s">
        <v>712</v>
      </c>
      <c r="G50" s="14" t="s">
        <v>713</v>
      </c>
      <c r="H50" s="15"/>
    </row>
    <row r="51" customFormat="false" ht="15" hidden="false" customHeight="false" outlineLevel="0" collapsed="false">
      <c r="A51" s="6" t="n">
        <v>47</v>
      </c>
      <c r="B51" s="11"/>
      <c r="C51" s="8" t="s">
        <v>714</v>
      </c>
      <c r="D51" s="11" t="s">
        <v>715</v>
      </c>
      <c r="E51" s="6" t="s">
        <v>311</v>
      </c>
      <c r="F51" s="11" t="s">
        <v>329</v>
      </c>
      <c r="G51" s="8" t="s">
        <v>716</v>
      </c>
      <c r="H51" s="11"/>
    </row>
    <row r="52" customFormat="false" ht="15" hidden="false" customHeight="false" outlineLevel="0" collapsed="false">
      <c r="A52" s="12" t="n">
        <v>48</v>
      </c>
      <c r="B52" s="15"/>
      <c r="C52" s="14" t="s">
        <v>717</v>
      </c>
      <c r="D52" s="15" t="s">
        <v>718</v>
      </c>
      <c r="E52" s="12" t="s">
        <v>311</v>
      </c>
      <c r="F52" s="15" t="s">
        <v>329</v>
      </c>
      <c r="G52" s="14" t="s">
        <v>719</v>
      </c>
      <c r="H52" s="15"/>
    </row>
    <row r="53" customFormat="false" ht="15" hidden="false" customHeight="false" outlineLevel="0" collapsed="false">
      <c r="A53" s="6" t="n">
        <v>49</v>
      </c>
      <c r="B53" s="8" t="s">
        <v>720</v>
      </c>
      <c r="C53" s="8" t="s">
        <v>721</v>
      </c>
      <c r="D53" s="11" t="s">
        <v>722</v>
      </c>
      <c r="E53" s="6" t="s">
        <v>94</v>
      </c>
      <c r="F53" s="11" t="s">
        <v>723</v>
      </c>
      <c r="G53" s="11" t="s">
        <v>640</v>
      </c>
      <c r="H53" s="11" t="s">
        <v>724</v>
      </c>
    </row>
    <row r="54" customFormat="false" ht="15" hidden="false" customHeight="false" outlineLevel="0" collapsed="false">
      <c r="A54" s="12" t="n">
        <v>50</v>
      </c>
      <c r="B54" s="15"/>
      <c r="C54" s="14" t="s">
        <v>725</v>
      </c>
      <c r="D54" s="15" t="s">
        <v>726</v>
      </c>
      <c r="E54" s="12" t="s">
        <v>94</v>
      </c>
      <c r="F54" s="15" t="s">
        <v>727</v>
      </c>
      <c r="G54" s="15" t="s">
        <v>640</v>
      </c>
      <c r="H54" s="15"/>
    </row>
    <row r="55" customFormat="false" ht="22.35" hidden="false" customHeight="false" outlineLevel="0" collapsed="false">
      <c r="A55" s="6" t="n">
        <v>51</v>
      </c>
      <c r="B55" s="11"/>
      <c r="C55" s="8" t="s">
        <v>728</v>
      </c>
      <c r="D55" s="11" t="s">
        <v>729</v>
      </c>
      <c r="E55" s="6" t="s">
        <v>94</v>
      </c>
      <c r="F55" s="11" t="s">
        <v>112</v>
      </c>
      <c r="G55" s="11" t="s">
        <v>640</v>
      </c>
      <c r="H55" s="11"/>
    </row>
    <row r="56" customFormat="false" ht="22.35" hidden="false" customHeight="false" outlineLevel="0" collapsed="false">
      <c r="A56" s="12" t="n">
        <v>52</v>
      </c>
      <c r="B56" s="14" t="s">
        <v>730</v>
      </c>
      <c r="C56" s="14" t="s">
        <v>731</v>
      </c>
      <c r="D56" s="15" t="s">
        <v>732</v>
      </c>
      <c r="E56" s="12" t="s">
        <v>94</v>
      </c>
      <c r="F56" s="15" t="s">
        <v>733</v>
      </c>
      <c r="G56" s="15" t="s">
        <v>640</v>
      </c>
      <c r="H56" s="15"/>
    </row>
    <row r="57" customFormat="false" ht="22.35" hidden="false" customHeight="false" outlineLevel="0" collapsed="false">
      <c r="A57" s="6" t="n">
        <v>53</v>
      </c>
      <c r="B57" s="11"/>
      <c r="C57" s="8" t="s">
        <v>734</v>
      </c>
      <c r="D57" s="11" t="s">
        <v>735</v>
      </c>
      <c r="E57" s="6" t="s">
        <v>94</v>
      </c>
      <c r="F57" s="11" t="s">
        <v>179</v>
      </c>
      <c r="G57" s="11" t="s">
        <v>640</v>
      </c>
      <c r="H57" s="11"/>
    </row>
    <row r="58" customFormat="false" ht="15" hidden="false" customHeight="false" outlineLevel="0" collapsed="false">
      <c r="A58" s="12" t="n">
        <v>54</v>
      </c>
      <c r="B58" s="15"/>
      <c r="C58" s="14" t="s">
        <v>736</v>
      </c>
      <c r="D58" s="15" t="s">
        <v>737</v>
      </c>
      <c r="E58" s="12" t="s">
        <v>94</v>
      </c>
      <c r="F58" s="15" t="s">
        <v>179</v>
      </c>
      <c r="G58" s="15" t="s">
        <v>640</v>
      </c>
      <c r="H58" s="15"/>
    </row>
    <row r="59" customFormat="false" ht="22.35" hidden="false" customHeight="false" outlineLevel="0" collapsed="false">
      <c r="A59" s="6" t="n">
        <v>55</v>
      </c>
      <c r="B59" s="8" t="s">
        <v>738</v>
      </c>
      <c r="C59" s="8" t="s">
        <v>739</v>
      </c>
      <c r="D59" s="11" t="s">
        <v>740</v>
      </c>
      <c r="E59" s="6" t="s">
        <v>193</v>
      </c>
      <c r="F59" s="11" t="s">
        <v>207</v>
      </c>
      <c r="G59" s="11" t="s">
        <v>640</v>
      </c>
      <c r="H59" s="11"/>
    </row>
    <row r="60" customFormat="false" ht="15" hidden="false" customHeight="false" outlineLevel="0" collapsed="false">
      <c r="A60" s="12" t="n">
        <v>56</v>
      </c>
      <c r="B60" s="15"/>
      <c r="C60" s="14" t="s">
        <v>741</v>
      </c>
      <c r="D60" s="15" t="s">
        <v>742</v>
      </c>
      <c r="E60" s="12" t="s">
        <v>193</v>
      </c>
      <c r="F60" s="15" t="s">
        <v>199</v>
      </c>
      <c r="G60" s="15" t="s">
        <v>640</v>
      </c>
      <c r="H60" s="15"/>
    </row>
    <row r="61" customFormat="false" ht="15" hidden="false" customHeight="false" outlineLevel="0" collapsed="false">
      <c r="A61" s="6" t="n">
        <v>57</v>
      </c>
      <c r="B61" s="11"/>
      <c r="C61" s="8" t="s">
        <v>743</v>
      </c>
      <c r="D61" s="11" t="s">
        <v>744</v>
      </c>
      <c r="E61" s="6" t="s">
        <v>193</v>
      </c>
      <c r="F61" s="11" t="s">
        <v>745</v>
      </c>
      <c r="G61" s="11" t="s">
        <v>640</v>
      </c>
      <c r="H61" s="8" t="s">
        <v>746</v>
      </c>
    </row>
    <row r="62" customFormat="false" ht="15" hidden="false" customHeight="false" outlineLevel="0" collapsed="false">
      <c r="A62" s="12" t="n">
        <v>58</v>
      </c>
      <c r="B62" s="15"/>
      <c r="C62" s="14" t="s">
        <v>747</v>
      </c>
      <c r="D62" s="15" t="s">
        <v>748</v>
      </c>
      <c r="E62" s="12" t="s">
        <v>193</v>
      </c>
      <c r="F62" s="15" t="s">
        <v>223</v>
      </c>
      <c r="G62" s="15" t="s">
        <v>640</v>
      </c>
      <c r="H62" s="14" t="s">
        <v>749</v>
      </c>
    </row>
    <row r="63" customFormat="false" ht="15" hidden="false" customHeight="false" outlineLevel="0" collapsed="false">
      <c r="A63" s="27" t="n">
        <v>59</v>
      </c>
      <c r="B63" s="25"/>
      <c r="C63" s="26" t="s">
        <v>750</v>
      </c>
      <c r="D63" s="25" t="s">
        <v>751</v>
      </c>
      <c r="E63" s="27" t="s">
        <v>193</v>
      </c>
      <c r="F63" s="25" t="s">
        <v>559</v>
      </c>
      <c r="G63" s="25" t="s">
        <v>640</v>
      </c>
      <c r="H63" s="26" t="s">
        <v>641</v>
      </c>
    </row>
  </sheetData>
  <autoFilter ref="A4:H63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2026-04-03T09:06:44Z</dcterms:created>
  <dc:creator>openpyxl</dc:creator>
  <dc:description/>
  <dc:language>en-US</dc:language>
  <cp:lastModifiedBy/>
  <dcterms:modified xsi:type="dcterms:W3CDTF">2026-04-03T09:06:44Z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