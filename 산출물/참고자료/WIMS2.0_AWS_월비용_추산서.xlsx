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비용추산 요약" sheetId="1" state="visible" r:id="rId3"/>
    <sheet name="상세 내역" sheetId="2" state="visible" r:id="rId4"/>
    <sheet name="RI 비교 분석" sheetId="3" state="visible" r:id="rId5"/>
    <sheet name="아키텍처 구성" sheetId="4" state="visible" r:id="rId6"/>
    <sheet name="온프레미스 비용" sheetId="5" state="visible" r:id="rId7"/>
    <sheet name="AWS vs 온프레미스 비교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<sst xmlns="http://schemas.openxmlformats.org/spreadsheetml/2006/main" count="447" uniqueCount="328">
  <si>
    <r>
      <rPr>
        <b val="true"/>
        <sz val="14"/>
        <color rgb="FF1B2A4A"/>
        <rFont val="맑은 고딕"/>
        <family val="0"/>
        <charset val="1"/>
      </rPr>
      <t xml:space="preserve">WIMS 2.0 — AWS </t>
    </r>
    <r>
      <rPr>
        <b val="true"/>
        <sz val="14"/>
        <color rgb="FF1B2A4A"/>
        <rFont val="DejaVu Sans"/>
        <family val="2"/>
      </rPr>
      <t xml:space="preserve">월간 운영비용 추산서</t>
    </r>
  </si>
  <si>
    <r>
      <rPr>
        <sz val="9"/>
        <color rgb="FF666666"/>
        <rFont val="DejaVu Sans"/>
        <family val="2"/>
      </rPr>
      <t xml:space="preserve">작성일</t>
    </r>
    <r>
      <rPr>
        <sz val="9"/>
        <color rgb="FF666666"/>
        <rFont val="DejaVu Sans"/>
        <family val="2"/>
        <charset val="1"/>
      </rPr>
      <t xml:space="preserve">: 2026-03-25  |  </t>
    </r>
    <r>
      <rPr>
        <sz val="9"/>
        <color rgb="FF666666"/>
        <rFont val="DejaVu Sans"/>
        <family val="2"/>
      </rPr>
      <t xml:space="preserve">서울 리전</t>
    </r>
    <r>
      <rPr>
        <sz val="9"/>
        <color rgb="FF666666"/>
        <rFont val="DejaVu Sans"/>
        <family val="2"/>
        <charset val="1"/>
      </rPr>
      <t xml:space="preserve">(ap-northeast-2)  |  </t>
    </r>
    <r>
      <rPr>
        <sz val="9"/>
        <color rgb="FF666666"/>
        <rFont val="DejaVu Sans"/>
        <family val="2"/>
      </rPr>
      <t xml:space="preserve">환율</t>
    </r>
    <r>
      <rPr>
        <sz val="9"/>
        <color rgb="FF666666"/>
        <rFont val="DejaVu Sans"/>
        <family val="2"/>
        <charset val="1"/>
      </rPr>
      <t xml:space="preserve">: ₩1,499/USD</t>
    </r>
  </si>
  <si>
    <t xml:space="preserve">▎ 추산 전제조건</t>
  </si>
  <si>
    <t xml:space="preserve">동시 사용자</t>
  </si>
  <si>
    <r>
      <rPr>
        <sz val="10"/>
        <rFont val="맑은 고딕"/>
        <family val="0"/>
        <charset val="1"/>
      </rPr>
      <t xml:space="preserve">6~14</t>
    </r>
    <r>
      <rPr>
        <sz val="10"/>
        <rFont val="DejaVu Sans"/>
        <family val="2"/>
      </rPr>
      <t xml:space="preserve">명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내부 업무용 시스템</t>
    </r>
    <r>
      <rPr>
        <sz val="10"/>
        <rFont val="맑은 고딕"/>
        <family val="0"/>
        <charset val="1"/>
      </rPr>
      <t xml:space="preserve">)</t>
    </r>
  </si>
  <si>
    <t xml:space="preserve">환경 구성</t>
  </si>
  <si>
    <r>
      <rPr>
        <sz val="10"/>
        <rFont val="맑은 고딕"/>
        <family val="0"/>
        <charset val="1"/>
      </rPr>
      <t xml:space="preserve">PROD(</t>
    </r>
    <r>
      <rPr>
        <sz val="10"/>
        <rFont val="DejaVu Sans"/>
        <family val="2"/>
      </rPr>
      <t xml:space="preserve">운영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단일 환경 — </t>
    </r>
    <r>
      <rPr>
        <sz val="10"/>
        <rFont val="맑은 고딕"/>
        <family val="0"/>
        <charset val="1"/>
      </rPr>
      <t xml:space="preserve">DEV</t>
    </r>
    <r>
      <rPr>
        <sz val="10"/>
        <rFont val="DejaVu Sans"/>
        <family val="2"/>
      </rPr>
      <t xml:space="preserve">는 사내 서버 사용</t>
    </r>
  </si>
  <si>
    <t xml:space="preserve">컴퓨팅</t>
  </si>
  <si>
    <r>
      <rPr>
        <sz val="10"/>
        <rFont val="맑은 고딕"/>
        <family val="0"/>
        <charset val="1"/>
      </rPr>
      <t xml:space="preserve">EC2 m6i.large (2vCPU, 8GB) — </t>
    </r>
    <r>
      <rPr>
        <sz val="10"/>
        <rFont val="DejaVu Sans"/>
        <family val="2"/>
      </rPr>
      <t xml:space="preserve">상용 범용 인스턴스</t>
    </r>
  </si>
  <si>
    <t xml:space="preserve">프론트엔드</t>
  </si>
  <si>
    <r>
      <rPr>
        <sz val="10"/>
        <rFont val="맑은 고딕"/>
        <family val="0"/>
        <charset val="1"/>
      </rPr>
      <t xml:space="preserve">S3 + CloudFront </t>
    </r>
    <r>
      <rPr>
        <sz val="10"/>
        <rFont val="DejaVu Sans"/>
        <family val="2"/>
      </rPr>
      <t xml:space="preserve">정적 웹 호스팅</t>
    </r>
  </si>
  <si>
    <t xml:space="preserve">데이터베이스</t>
  </si>
  <si>
    <t xml:space="preserve">RDS MariaDB db.m6i.large (2vCPU, 8GB)</t>
  </si>
  <si>
    <t xml:space="preserve">데이터 규모</t>
  </si>
  <si>
    <r>
      <rPr>
        <sz val="10"/>
        <rFont val="맑은 고딕"/>
        <family val="0"/>
        <charset val="1"/>
      </rPr>
      <t xml:space="preserve">BOM 10,000+ </t>
    </r>
    <r>
      <rPr>
        <sz val="10"/>
        <rFont val="DejaVu Sans"/>
        <family val="2"/>
      </rPr>
      <t xml:space="preserve">항목</t>
    </r>
    <r>
      <rPr>
        <sz val="10"/>
        <rFont val="맑은 고딕"/>
        <family val="0"/>
        <charset val="1"/>
      </rPr>
      <t xml:space="preserve">, CAD/</t>
    </r>
    <r>
      <rPr>
        <sz val="10"/>
        <rFont val="DejaVu Sans"/>
        <family val="2"/>
      </rPr>
      <t xml:space="preserve">사진 파일 </t>
    </r>
    <r>
      <rPr>
        <sz val="10"/>
        <rFont val="맑은 고딕"/>
        <family val="0"/>
        <charset val="1"/>
      </rPr>
      <t xml:space="preserve">~1TB</t>
    </r>
  </si>
  <si>
    <t xml:space="preserve">트래픽 패턴</t>
  </si>
  <si>
    <r>
      <rPr>
        <sz val="10"/>
        <rFont val="DejaVu Sans"/>
        <family val="2"/>
      </rPr>
      <t xml:space="preserve">업무시간 집중</t>
    </r>
    <r>
      <rPr>
        <sz val="10"/>
        <rFont val="DejaVu Sans"/>
        <family val="2"/>
        <charset val="1"/>
      </rPr>
      <t xml:space="preserve">, MES API </t>
    </r>
    <r>
      <rPr>
        <sz val="10"/>
        <rFont val="DejaVu Sans"/>
        <family val="2"/>
      </rPr>
      <t xml:space="preserve">호출 포함</t>
    </r>
  </si>
  <si>
    <t xml:space="preserve">네트워크</t>
  </si>
  <si>
    <r>
      <rPr>
        <sz val="10"/>
        <rFont val="맑은 고딕"/>
        <family val="0"/>
        <charset val="1"/>
      </rPr>
      <t xml:space="preserve">VPC Endpoint </t>
    </r>
    <r>
      <rPr>
        <sz val="10"/>
        <rFont val="DejaVu Sans"/>
        <family val="2"/>
      </rPr>
      <t xml:space="preserve">사용 </t>
    </r>
    <r>
      <rPr>
        <sz val="10"/>
        <rFont val="맑은 고딕"/>
        <family val="0"/>
        <charset val="1"/>
      </rPr>
      <t xml:space="preserve">(NAT Gateway </t>
    </r>
    <r>
      <rPr>
        <sz val="10"/>
        <rFont val="DejaVu Sans"/>
        <family val="2"/>
      </rPr>
      <t xml:space="preserve">미사용</t>
    </r>
    <r>
      <rPr>
        <sz val="10"/>
        <rFont val="맑은 고딕"/>
        <family val="0"/>
        <charset val="1"/>
      </rPr>
      <t xml:space="preserve">)</t>
    </r>
  </si>
  <si>
    <t xml:space="preserve">리전</t>
  </si>
  <si>
    <r>
      <rPr>
        <sz val="10"/>
        <rFont val="맑은 고딕"/>
        <family val="0"/>
        <charset val="1"/>
      </rPr>
      <t xml:space="preserve">ap-northeast-2 (</t>
    </r>
    <r>
      <rPr>
        <sz val="10"/>
        <rFont val="DejaVu Sans"/>
        <family val="2"/>
      </rPr>
      <t xml:space="preserve">서울</t>
    </r>
    <r>
      <rPr>
        <sz val="10"/>
        <rFont val="맑은 고딕"/>
        <family val="0"/>
        <charset val="1"/>
      </rPr>
      <t xml:space="preserve">)</t>
    </r>
  </si>
  <si>
    <t xml:space="preserve">▎ 옵션 정의</t>
  </si>
  <si>
    <t xml:space="preserve">Option A: On-Demand</t>
  </si>
  <si>
    <r>
      <rPr>
        <sz val="10"/>
        <rFont val="DejaVu Sans"/>
        <family val="2"/>
      </rPr>
      <t xml:space="preserve">모든 서비스를 시간당 종량제로 사용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약정 없음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</si>
  <si>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Option B: RI 1</t>
    </r>
    <r>
      <rPr>
        <b val="true"/>
        <sz val="10"/>
        <rFont val="DejaVu Sans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No Upfront</t>
    </r>
  </si>
  <si>
    <r>
      <rPr>
        <sz val="10"/>
        <rFont val="맑은 고딕"/>
        <family val="0"/>
        <charset val="1"/>
      </rPr>
      <t xml:space="preserve">EC2 + RDS</t>
    </r>
    <r>
      <rPr>
        <sz val="10"/>
        <rFont val="DejaVu Sans"/>
        <family val="2"/>
      </rPr>
      <t xml:space="preserve">를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년 예약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선불 없음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월 납입</t>
    </r>
    <r>
      <rPr>
        <sz val="10"/>
        <rFont val="맑은 고딕"/>
        <family val="0"/>
        <charset val="1"/>
      </rPr>
      <t xml:space="preserve">). </t>
    </r>
    <r>
      <rPr>
        <sz val="10"/>
        <rFont val="DejaVu Sans"/>
        <family val="2"/>
      </rPr>
      <t xml:space="preserve">나머지 </t>
    </r>
    <r>
      <rPr>
        <sz val="10"/>
        <rFont val="맑은 고딕"/>
        <family val="0"/>
        <charset val="1"/>
      </rPr>
      <t xml:space="preserve">On-Demand.</t>
    </r>
  </si>
  <si>
    <r>
      <rPr>
        <b val="true"/>
        <sz val="10"/>
        <rFont val="맑은 고딕"/>
        <family val="0"/>
        <charset val="1"/>
      </rPr>
      <t xml:space="preserve">Option C: RI 1</t>
    </r>
    <r>
      <rPr>
        <b val="true"/>
        <sz val="10"/>
        <rFont val="DejaVu Sans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All Upfront</t>
    </r>
  </si>
  <si>
    <r>
      <rPr>
        <sz val="10"/>
        <rFont val="맑은 고딕"/>
        <family val="0"/>
        <charset val="1"/>
      </rPr>
      <t xml:space="preserve">EC2 + RDS</t>
    </r>
    <r>
      <rPr>
        <sz val="10"/>
        <rFont val="DejaVu Sans"/>
        <family val="2"/>
      </rPr>
      <t xml:space="preserve">를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년 예약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전액 선불</t>
    </r>
    <r>
      <rPr>
        <sz val="10"/>
        <rFont val="맑은 고딕"/>
        <family val="0"/>
        <charset val="1"/>
      </rPr>
      <t xml:space="preserve">). </t>
    </r>
    <r>
      <rPr>
        <sz val="10"/>
        <rFont val="DejaVu Sans"/>
        <family val="2"/>
      </rPr>
      <t xml:space="preserve">나머지 </t>
    </r>
    <r>
      <rPr>
        <sz val="10"/>
        <rFont val="맑은 고딕"/>
        <family val="0"/>
        <charset val="1"/>
      </rPr>
      <t xml:space="preserve">On-Demand.</t>
    </r>
  </si>
  <si>
    <r>
      <rPr>
        <b val="true"/>
        <sz val="11"/>
        <color rgb="FF2C3E6B"/>
        <rFont val="DejaVu Sans"/>
        <family val="2"/>
      </rPr>
      <t xml:space="preserve">▎ 옵션별 월간 비용 비교 </t>
    </r>
    <r>
      <rPr>
        <b val="true"/>
        <sz val="11"/>
        <color rgb="FF2C3E6B"/>
        <rFont val="DejaVu Sans"/>
        <family val="2"/>
        <charset val="1"/>
      </rPr>
      <t xml:space="preserve">(PROD)</t>
    </r>
  </si>
  <si>
    <t xml:space="preserve">구분</t>
  </si>
  <si>
    <t xml:space="preserve">Option A
On-Demand</t>
  </si>
  <si>
    <r>
      <rPr>
        <b val="true"/>
        <sz val="11"/>
        <color rgb="FFFFFFFF"/>
        <rFont val="맑은 고딕"/>
        <family val="0"/>
        <charset val="1"/>
      </rPr>
      <t xml:space="preserve">Option B
RI No Upfront
(</t>
    </r>
    <r>
      <rPr>
        <b val="true"/>
        <sz val="11"/>
        <color rgb="FFFFFFFF"/>
        <rFont val="DejaVu Sans"/>
        <family val="2"/>
      </rPr>
      <t xml:space="preserve">월 납입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</si>
  <si>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Option C
RI All Upfront
(</t>
    </r>
    <r>
      <rPr>
        <b val="true"/>
        <sz val="11"/>
        <color rgb="FFFFFFFF"/>
        <rFont val="DejaVu Sans"/>
        <family val="2"/>
      </rPr>
      <t xml:space="preserve">유효 월비용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</si>
  <si>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비고</t>
  </si>
  <si>
    <t xml:space="preserve">1</t>
  </si>
  <si>
    <t xml:space="preserve">EC2 m6i.large</t>
  </si>
  <si>
    <r>
      <rPr>
        <sz val="9"/>
        <color rgb="FF666666"/>
        <rFont val="DejaVu Sans"/>
        <family val="2"/>
      </rPr>
      <t xml:space="preserve">백엔드 </t>
    </r>
    <r>
      <rPr>
        <sz val="9"/>
        <color rgb="FF666666"/>
        <rFont val="DejaVu Sans"/>
        <family val="2"/>
        <charset val="1"/>
      </rPr>
      <t xml:space="preserve">API </t>
    </r>
    <r>
      <rPr>
        <sz val="9"/>
        <color rgb="FF666666"/>
        <rFont val="DejaVu Sans"/>
        <family val="2"/>
      </rPr>
      <t xml:space="preserve">서버</t>
    </r>
  </si>
  <si>
    <t xml:space="preserve">2</t>
  </si>
  <si>
    <r>
      <rPr>
        <sz val="10"/>
        <rFont val="맑은 고딕"/>
        <family val="0"/>
        <charset val="1"/>
      </rPr>
      <t xml:space="preserve">S3+CF </t>
    </r>
    <r>
      <rPr>
        <sz val="10"/>
        <rFont val="DejaVu Sans"/>
        <family val="2"/>
      </rPr>
      <t xml:space="preserve">프론트엔드</t>
    </r>
  </si>
  <si>
    <r>
      <rPr>
        <sz val="9"/>
        <color rgb="FF666666"/>
        <rFont val="DejaVu Sans"/>
        <family val="2"/>
      </rPr>
      <t xml:space="preserve">정적 호스팅 </t>
    </r>
    <r>
      <rPr>
        <sz val="9"/>
        <color rgb="FF666666"/>
        <rFont val="DejaVu Sans"/>
        <family val="2"/>
        <charset val="1"/>
      </rPr>
      <t xml:space="preserve">(</t>
    </r>
    <r>
      <rPr>
        <sz val="9"/>
        <color rgb="FF666666"/>
        <rFont val="DejaVu Sans"/>
        <family val="2"/>
      </rPr>
      <t xml:space="preserve">공통</t>
    </r>
    <r>
      <rPr>
        <sz val="9"/>
        <color rgb="FF666666"/>
        <rFont val="DejaVu Sans"/>
        <family val="2"/>
        <charset val="1"/>
      </rPr>
      <t xml:space="preserve">)</t>
    </r>
  </si>
  <si>
    <t xml:space="preserve">3</t>
  </si>
  <si>
    <r>
      <rPr>
        <sz val="10"/>
        <rFont val="맑은 고딕"/>
        <family val="0"/>
        <charset val="1"/>
      </rPr>
      <t xml:space="preserve">RDS MariaDB </t>
    </r>
    <r>
      <rPr>
        <sz val="10"/>
        <rFont val="DejaVu Sans"/>
        <family val="2"/>
      </rPr>
      <t xml:space="preserve">인스턴스</t>
    </r>
  </si>
  <si>
    <t xml:space="preserve">db.m6i.large</t>
  </si>
  <si>
    <t xml:space="preserve">4</t>
  </si>
  <si>
    <t xml:space="preserve">RDS Storage (gp3)</t>
  </si>
  <si>
    <r>
      <rPr>
        <sz val="9"/>
        <color rgb="FF666666"/>
        <rFont val="맑은 고딕"/>
        <family val="0"/>
        <charset val="1"/>
      </rPr>
      <t xml:space="preserve">100GB (</t>
    </r>
    <r>
      <rPr>
        <sz val="9"/>
        <color rgb="FF666666"/>
        <rFont val="DejaVu Sans"/>
        <family val="2"/>
      </rPr>
      <t xml:space="preserve">공통</t>
    </r>
    <r>
      <rPr>
        <sz val="9"/>
        <color rgb="FF666666"/>
        <rFont val="맑은 고딕"/>
        <family val="0"/>
        <charset val="1"/>
      </rPr>
      <t xml:space="preserve">)</t>
    </r>
  </si>
  <si>
    <t xml:space="preserve">5</t>
  </si>
  <si>
    <r>
      <rPr>
        <sz val="10"/>
        <rFont val="맑은 고딕"/>
        <family val="0"/>
        <charset val="1"/>
      </rPr>
      <t xml:space="preserve">S3 </t>
    </r>
    <r>
      <rPr>
        <sz val="10"/>
        <rFont val="DejaVu Sans"/>
        <family val="2"/>
      </rPr>
      <t xml:space="preserve">스토리지 </t>
    </r>
    <r>
      <rPr>
        <sz val="10"/>
        <rFont val="맑은 고딕"/>
        <family val="0"/>
        <charset val="1"/>
      </rPr>
      <t xml:space="preserve">(1TB)</t>
    </r>
  </si>
  <si>
    <r>
      <rPr>
        <sz val="9"/>
        <color rgb="FF666666"/>
        <rFont val="DejaVu Sans"/>
        <family val="2"/>
      </rPr>
      <t xml:space="preserve">파일 저장 </t>
    </r>
    <r>
      <rPr>
        <sz val="9"/>
        <color rgb="FF666666"/>
        <rFont val="DejaVu Sans"/>
        <family val="2"/>
        <charset val="1"/>
      </rPr>
      <t xml:space="preserve">(</t>
    </r>
    <r>
      <rPr>
        <sz val="9"/>
        <color rgb="FF666666"/>
        <rFont val="DejaVu Sans"/>
        <family val="2"/>
      </rPr>
      <t xml:space="preserve">공통</t>
    </r>
    <r>
      <rPr>
        <sz val="9"/>
        <color rgb="FF666666"/>
        <rFont val="DejaVu Sans"/>
        <family val="2"/>
        <charset val="1"/>
      </rPr>
      <t xml:space="preserve">)</t>
    </r>
  </si>
  <si>
    <t xml:space="preserve">6</t>
  </si>
  <si>
    <r>
      <rPr>
        <sz val="10"/>
        <rFont val="맑은 고딕"/>
        <family val="0"/>
        <charset val="1"/>
      </rPr>
      <t xml:space="preserve">S3 </t>
    </r>
    <r>
      <rPr>
        <sz val="10"/>
        <rFont val="DejaVu Sans"/>
        <family val="2"/>
      </rPr>
      <t xml:space="preserve">요청비용</t>
    </r>
  </si>
  <si>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공통</t>
    </r>
    <r>
      <rPr>
        <sz val="9"/>
        <color rgb="FF666666"/>
        <rFont val="맑은 고딕"/>
        <family val="0"/>
        <charset val="1"/>
      </rPr>
      <t xml:space="preserve">)</t>
    </r>
  </si>
  <si>
    <t xml:space="preserve">7</t>
  </si>
  <si>
    <t xml:space="preserve">ALB</t>
  </si>
  <si>
    <r>
      <rPr>
        <sz val="9"/>
        <color rgb="FF666666"/>
        <rFont val="DejaVu Sans"/>
        <family val="2"/>
      </rPr>
      <t xml:space="preserve">로드밸런서 </t>
    </r>
    <r>
      <rPr>
        <sz val="9"/>
        <color rgb="FF666666"/>
        <rFont val="DejaVu Sans"/>
        <family val="2"/>
        <charset val="1"/>
      </rPr>
      <t xml:space="preserve">(</t>
    </r>
    <r>
      <rPr>
        <sz val="9"/>
        <color rgb="FF666666"/>
        <rFont val="DejaVu Sans"/>
        <family val="2"/>
      </rPr>
      <t xml:space="preserve">공통</t>
    </r>
    <r>
      <rPr>
        <sz val="9"/>
        <color rgb="FF666666"/>
        <rFont val="DejaVu Sans"/>
        <family val="2"/>
        <charset val="1"/>
      </rPr>
      <t xml:space="preserve">)</t>
    </r>
  </si>
  <si>
    <t xml:space="preserve">8</t>
  </si>
  <si>
    <t xml:space="preserve">CloudFront</t>
  </si>
  <si>
    <r>
      <rPr>
        <sz val="9"/>
        <color rgb="FF666666"/>
        <rFont val="맑은 고딕"/>
        <family val="0"/>
        <charset val="1"/>
      </rPr>
      <t xml:space="preserve">CDN (</t>
    </r>
    <r>
      <rPr>
        <sz val="9"/>
        <color rgb="FF666666"/>
        <rFont val="DejaVu Sans"/>
        <family val="2"/>
      </rPr>
      <t xml:space="preserve">공통</t>
    </r>
    <r>
      <rPr>
        <sz val="9"/>
        <color rgb="FF666666"/>
        <rFont val="맑은 고딕"/>
        <family val="0"/>
        <charset val="1"/>
      </rPr>
      <t xml:space="preserve">)</t>
    </r>
  </si>
  <si>
    <t xml:space="preserve">9</t>
  </si>
  <si>
    <t xml:space="preserve">Route 53</t>
  </si>
  <si>
    <r>
      <rPr>
        <sz val="9"/>
        <color rgb="FF666666"/>
        <rFont val="맑은 고딕"/>
        <family val="0"/>
        <charset val="1"/>
      </rPr>
      <t xml:space="preserve">DNS (</t>
    </r>
    <r>
      <rPr>
        <sz val="9"/>
        <color rgb="FF666666"/>
        <rFont val="DejaVu Sans"/>
        <family val="2"/>
      </rPr>
      <t xml:space="preserve">공통</t>
    </r>
    <r>
      <rPr>
        <sz val="9"/>
        <color rgb="FF666666"/>
        <rFont val="맑은 고딕"/>
        <family val="0"/>
        <charset val="1"/>
      </rPr>
      <t xml:space="preserve">)</t>
    </r>
  </si>
  <si>
    <t xml:space="preserve">10</t>
  </si>
  <si>
    <t xml:space="preserve">Data Transfer</t>
  </si>
  <si>
    <t xml:space="preserve">11</t>
  </si>
  <si>
    <t xml:space="preserve">WAF + CloudWatch</t>
  </si>
  <si>
    <r>
      <rPr>
        <sz val="9"/>
        <color rgb="FF666666"/>
        <rFont val="DejaVu Sans"/>
        <family val="2"/>
      </rPr>
      <t xml:space="preserve">보안</t>
    </r>
    <r>
      <rPr>
        <sz val="9"/>
        <color rgb="FF666666"/>
        <rFont val="DejaVu Sans"/>
        <family val="2"/>
        <charset val="1"/>
      </rPr>
      <t xml:space="preserve">/</t>
    </r>
    <r>
      <rPr>
        <sz val="9"/>
        <color rgb="FF666666"/>
        <rFont val="DejaVu Sans"/>
        <family val="2"/>
      </rPr>
      <t xml:space="preserve">모니터링 </t>
    </r>
    <r>
      <rPr>
        <sz val="9"/>
        <color rgb="FF666666"/>
        <rFont val="DejaVu Sans"/>
        <family val="2"/>
        <charset val="1"/>
      </rPr>
      <t xml:space="preserve">(</t>
    </r>
    <r>
      <rPr>
        <sz val="9"/>
        <color rgb="FF666666"/>
        <rFont val="DejaVu Sans"/>
        <family val="2"/>
      </rPr>
      <t xml:space="preserve">공통</t>
    </r>
    <r>
      <rPr>
        <sz val="9"/>
        <color rgb="FF666666"/>
        <rFont val="DejaVu Sans"/>
        <family val="2"/>
        <charset val="1"/>
      </rPr>
      <t xml:space="preserve">)</t>
    </r>
  </si>
  <si>
    <t xml:space="preserve">12</t>
  </si>
  <si>
    <r>
      <rPr>
        <sz val="10"/>
        <rFont val="DejaVu Sans"/>
        <family val="2"/>
      </rPr>
      <t xml:space="preserve">기타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백업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시크릿 등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</si>
  <si>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1"/>
        <color rgb="FF1B2A4A"/>
        <rFont val="DejaVu Sans"/>
        <family val="2"/>
      </rPr>
      <t xml:space="preserve">월간 합계 </t>
    </r>
    <r>
      <rPr>
        <b val="true"/>
        <sz val="11"/>
        <color rgb="FF1B2A4A"/>
        <rFont val="DejaVu Sans"/>
        <family val="2"/>
        <charset val="1"/>
      </rPr>
      <t xml:space="preserve">(USD)</t>
    </r>
  </si>
  <si>
    <r>
      <rPr>
        <b val="true"/>
        <sz val="11"/>
        <color rgb="FF1B2A4A"/>
        <rFont val="DejaVu Sans"/>
        <family val="2"/>
      </rPr>
      <t xml:space="preserve">월간 합계 </t>
    </r>
    <r>
      <rPr>
        <b val="true"/>
        <sz val="11"/>
        <color rgb="FF1B2A4A"/>
        <rFont val="DejaVu Sans"/>
        <family val="2"/>
        <charset val="1"/>
      </rPr>
      <t xml:space="preserve">(KRW)</t>
    </r>
  </si>
  <si>
    <r>
      <rPr>
        <b val="true"/>
        <sz val="11"/>
        <color rgb="FF1B2A4A"/>
        <rFont val="DejaVu Sans"/>
        <family val="2"/>
      </rPr>
      <t xml:space="preserve">연간 합계 </t>
    </r>
    <r>
      <rPr>
        <b val="true"/>
        <sz val="11"/>
        <color rgb="FF1B2A4A"/>
        <rFont val="DejaVu Sans"/>
        <family val="2"/>
        <charset val="1"/>
      </rPr>
      <t xml:space="preserve">(KRW)</t>
    </r>
  </si>
  <si>
    <r>
      <rPr>
        <b val="true"/>
        <sz val="11"/>
        <color rgb="FF1B2A4A"/>
        <rFont val="맑은 고딕"/>
        <family val="0"/>
        <charset val="1"/>
      </rPr>
      <t xml:space="preserve">On-Demand </t>
    </r>
    <r>
      <rPr>
        <b val="true"/>
        <sz val="11"/>
        <color rgb="FF1B2A4A"/>
        <rFont val="DejaVu Sans"/>
        <family val="2"/>
      </rPr>
      <t xml:space="preserve">대비 절감율</t>
    </r>
  </si>
  <si>
    <t xml:space="preserve">-</t>
  </si>
  <si>
    <r>
      <rPr>
        <b val="true"/>
        <sz val="11"/>
        <color rgb="FF2C3E6B"/>
        <rFont val="맑은 고딕"/>
        <family val="0"/>
        <charset val="1"/>
      </rPr>
      <t xml:space="preserve">▎ Option C </t>
    </r>
    <r>
      <rPr>
        <b val="true"/>
        <sz val="11"/>
        <color rgb="FF2C3E6B"/>
        <rFont val="DejaVu Sans"/>
        <family val="2"/>
      </rPr>
      <t xml:space="preserve">초기 선불 비용 </t>
    </r>
    <r>
      <rPr>
        <b val="true"/>
        <sz val="11"/>
        <color rgb="FF2C3E6B"/>
        <rFont val="맑은 고딕"/>
        <family val="0"/>
        <charset val="1"/>
      </rPr>
      <t xml:space="preserve">(All Upfront)</t>
    </r>
  </si>
  <si>
    <t xml:space="preserve">서비스</t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</si>
  <si>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년 선불</t>
    </r>
    <r>
      <rPr>
        <b val="true"/>
        <sz val="11"/>
        <color rgb="FFFFFFFF"/>
        <rFont val="맑은 고딕"/>
        <family val="0"/>
        <charset val="1"/>
      </rPr>
      <t xml:space="preserve">(USD)</t>
    </r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</si>
  <si>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년 선불</t>
    </r>
    <r>
      <rPr>
        <b val="true"/>
        <sz val="11"/>
        <color rgb="FFFFFFFF"/>
        <rFont val="맑은 고딕"/>
        <family val="0"/>
        <charset val="1"/>
      </rPr>
      <t xml:space="preserve">(KRW)</t>
    </r>
  </si>
  <si>
    <r>
      <rPr>
        <b val="true"/>
        <sz val="11"/>
        <color rgb="FFFFFFFF"/>
        <rFont val="DejaVu Sans"/>
        <family val="2"/>
      </rPr>
      <t xml:space="preserve">유효 월비용</t>
    </r>
    <r>
      <rPr>
        <b val="true"/>
        <sz val="11"/>
        <color rgb="FFFFFFFF"/>
        <rFont val="DejaVu Sans"/>
        <family val="2"/>
        <charset val="1"/>
      </rPr>
      <t xml:space="preserve">(USD)</t>
    </r>
  </si>
  <si>
    <r>
      <rPr>
        <sz val="9"/>
        <color rgb="FF666666"/>
        <rFont val="맑은 고딕"/>
        <family val="0"/>
        <charset val="1"/>
      </rPr>
      <t xml:space="preserve">RI 1</t>
    </r>
    <r>
      <rPr>
        <sz val="9"/>
        <color rgb="FF666666"/>
        <rFont val="DejaVu Sans"/>
        <family val="2"/>
      </rPr>
      <t xml:space="preserve">년 </t>
    </r>
    <r>
      <rPr>
        <sz val="9"/>
        <color rgb="FF666666"/>
        <rFont val="맑은 고딕"/>
        <family val="0"/>
        <charset val="1"/>
      </rPr>
      <t xml:space="preserve">All Upfront</t>
    </r>
  </si>
  <si>
    <t xml:space="preserve">RDS db.m6i.large MariaDB</t>
  </si>
  <si>
    <r>
      <rPr>
        <sz val="9"/>
        <color rgb="FF666666"/>
        <rFont val="맑은 고딕"/>
        <family val="0"/>
        <charset val="1"/>
      </rPr>
      <t xml:space="preserve">RI 1</t>
    </r>
    <r>
      <rPr>
        <sz val="9"/>
        <color rgb="FF666666"/>
        <rFont val="DejaVu Sans"/>
        <family val="2"/>
      </rPr>
      <t xml:space="preserve">년 </t>
    </r>
    <r>
      <rPr>
        <sz val="9"/>
        <color rgb="FF666666"/>
        <rFont val="맑은 고딕"/>
        <family val="0"/>
        <charset val="1"/>
      </rPr>
      <t xml:space="preserve">All Upfront (</t>
    </r>
    <r>
      <rPr>
        <sz val="9"/>
        <color rgb="FF666666"/>
        <rFont val="DejaVu Sans"/>
        <family val="2"/>
      </rPr>
      <t xml:space="preserve">추정</t>
    </r>
    <r>
      <rPr>
        <sz val="9"/>
        <color rgb="FF666666"/>
        <rFont val="맑은 고딕"/>
        <family val="0"/>
        <charset val="1"/>
      </rPr>
      <t xml:space="preserve">)</t>
    </r>
  </si>
  <si>
    <t xml:space="preserve">선불 합계</t>
  </si>
  <si>
    <t xml:space="preserve">▎ 추천</t>
  </si>
  <si>
    <r>
      <rPr>
        <sz val="10"/>
        <rFont val="DejaVu Sans"/>
        <family val="2"/>
      </rPr>
      <t xml:space="preserve">• 초기 부담 최소화</t>
    </r>
    <r>
      <rPr>
        <sz val="10"/>
        <rFont val="DejaVu Sans"/>
        <family val="2"/>
        <charset val="1"/>
      </rPr>
      <t xml:space="preserve">: Option B (No Upfront) — </t>
    </r>
    <r>
      <rPr>
        <sz val="10"/>
        <rFont val="DejaVu Sans"/>
        <family val="2"/>
      </rPr>
      <t xml:space="preserve">선불 없이 월 납입으로 절감</t>
    </r>
  </si>
  <si>
    <r>
      <rPr>
        <sz val="10"/>
        <rFont val="DejaVu Sans"/>
        <family val="2"/>
      </rPr>
      <t xml:space="preserve">• 최대 비용 절감</t>
    </r>
    <r>
      <rPr>
        <sz val="10"/>
        <rFont val="DejaVu Sans"/>
        <family val="2"/>
        <charset val="1"/>
      </rPr>
      <t xml:space="preserve">: Option C (All Upfront) — </t>
    </r>
    <r>
      <rPr>
        <sz val="10"/>
        <rFont val="DejaVu Sans"/>
        <family val="2"/>
      </rPr>
      <t xml:space="preserve">초기 선불로 최대 절감</t>
    </r>
  </si>
  <si>
    <r>
      <rPr>
        <sz val="10"/>
        <rFont val="DejaVu Sans"/>
        <family val="2"/>
      </rPr>
      <t xml:space="preserve">• 유연성 우선</t>
    </r>
    <r>
      <rPr>
        <sz val="10"/>
        <rFont val="DejaVu Sans"/>
        <family val="2"/>
        <charset val="1"/>
      </rPr>
      <t xml:space="preserve">: Option A (On-Demand) — </t>
    </r>
    <r>
      <rPr>
        <sz val="10"/>
        <rFont val="DejaVu Sans"/>
        <family val="2"/>
      </rPr>
      <t xml:space="preserve">약정 없이 시작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패턴 파악 후 </t>
    </r>
    <r>
      <rPr>
        <sz val="10"/>
        <rFont val="DejaVu Sans"/>
        <family val="2"/>
        <charset val="1"/>
      </rPr>
      <t xml:space="preserve">RI </t>
    </r>
    <r>
      <rPr>
        <sz val="10"/>
        <rFont val="DejaVu Sans"/>
        <family val="2"/>
      </rPr>
      <t xml:space="preserve">전환</t>
    </r>
  </si>
  <si>
    <r>
      <rPr>
        <b val="true"/>
        <sz val="14"/>
        <color rgb="FF1B2A4A"/>
        <rFont val="맑은 고딕"/>
        <family val="0"/>
        <charset val="1"/>
      </rPr>
      <t xml:space="preserve">Option A (On-Demand) </t>
    </r>
    <r>
      <rPr>
        <b val="true"/>
        <sz val="14"/>
        <color rgb="FF1B2A4A"/>
        <rFont val="DejaVu Sans"/>
        <family val="2"/>
      </rPr>
      <t xml:space="preserve">기준 — </t>
    </r>
    <r>
      <rPr>
        <b val="true"/>
        <sz val="14"/>
        <color rgb="FF1B2A4A"/>
        <rFont val="맑은 고딕"/>
        <family val="0"/>
        <charset val="1"/>
      </rPr>
      <t xml:space="preserve">PROD </t>
    </r>
    <r>
      <rPr>
        <b val="true"/>
        <sz val="14"/>
        <color rgb="FF1B2A4A"/>
        <rFont val="DejaVu Sans"/>
        <family val="2"/>
      </rPr>
      <t xml:space="preserve">상세 비용 내역</t>
    </r>
  </si>
  <si>
    <r>
      <rPr>
        <sz val="9"/>
        <color rgb="FF666666"/>
        <rFont val="DejaVu Sans"/>
        <family val="2"/>
      </rPr>
      <t xml:space="preserve">서울 리전</t>
    </r>
    <r>
      <rPr>
        <sz val="9"/>
        <color rgb="FF666666"/>
        <rFont val="DejaVu Sans"/>
        <family val="2"/>
        <charset val="1"/>
      </rPr>
      <t xml:space="preserve">(ap-northeast-2)  |  </t>
    </r>
    <r>
      <rPr>
        <sz val="9"/>
        <color rgb="FF666666"/>
        <rFont val="DejaVu Sans"/>
        <family val="2"/>
      </rPr>
      <t xml:space="preserve">환율</t>
    </r>
    <r>
      <rPr>
        <sz val="9"/>
        <color rgb="FF666666"/>
        <rFont val="DejaVu Sans"/>
        <family val="2"/>
        <charset val="1"/>
      </rPr>
      <t xml:space="preserve">: ₩1,499/USD  |  NAT Gateway </t>
    </r>
    <r>
      <rPr>
        <sz val="9"/>
        <color rgb="FF666666"/>
        <rFont val="DejaVu Sans"/>
        <family val="2"/>
      </rPr>
      <t xml:space="preserve">미사용 </t>
    </r>
    <r>
      <rPr>
        <sz val="9"/>
        <color rgb="FF666666"/>
        <rFont val="DejaVu Sans"/>
        <family val="2"/>
        <charset val="1"/>
      </rPr>
      <t xml:space="preserve">(VPC Endpoint </t>
    </r>
    <r>
      <rPr>
        <sz val="9"/>
        <color rgb="FF666666"/>
        <rFont val="DejaVu Sans"/>
        <family val="2"/>
      </rPr>
      <t xml:space="preserve">활용</t>
    </r>
    <r>
      <rPr>
        <sz val="9"/>
        <color rgb="FF666666"/>
        <rFont val="DejaVu Sans"/>
        <family val="2"/>
        <charset val="1"/>
      </rPr>
      <t xml:space="preserve">)</t>
    </r>
  </si>
  <si>
    <t xml:space="preserve">No</t>
  </si>
  <si>
    <r>
      <rPr>
        <b val="true"/>
        <sz val="11"/>
        <color rgb="FFFFFFFF"/>
        <rFont val="맑은 고딕"/>
        <family val="0"/>
        <charset val="1"/>
      </rPr>
      <t xml:space="preserve">AWS </t>
    </r>
    <r>
      <rPr>
        <b val="true"/>
        <sz val="11"/>
        <color rgb="FFFFFFFF"/>
        <rFont val="DejaVu Sans"/>
        <family val="2"/>
      </rPr>
      <t xml:space="preserve">서비스</t>
    </r>
  </si>
  <si>
    <r>
      <rPr>
        <b val="true"/>
        <sz val="11"/>
        <color rgb="FFFFFFFF"/>
        <rFont val="DejaVu Sans"/>
        <family val="2"/>
      </rPr>
      <t xml:space="preserve">스펙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구성</t>
    </r>
  </si>
  <si>
    <r>
      <rPr>
        <b val="true"/>
        <sz val="11"/>
        <color rgb="FFFFFFFF"/>
        <rFont val="DejaVu Sans"/>
        <family val="2"/>
      </rPr>
      <t xml:space="preserve">단가</t>
    </r>
    <r>
      <rPr>
        <b val="true"/>
        <sz val="11"/>
        <color rgb="FFFFFFFF"/>
        <rFont val="DejaVu Sans"/>
        <family val="2"/>
        <charset val="1"/>
      </rPr>
      <t xml:space="preserve">(USD)</t>
    </r>
  </si>
  <si>
    <t xml:space="preserve">수량</t>
  </si>
  <si>
    <r>
      <rPr>
        <b val="true"/>
        <sz val="11"/>
        <color rgb="FFFFFFFF"/>
        <rFont val="DejaVu Sans"/>
        <family val="2"/>
      </rPr>
      <t xml:space="preserve">월비용</t>
    </r>
    <r>
      <rPr>
        <b val="true"/>
        <sz val="11"/>
        <color rgb="FFFFFFFF"/>
        <rFont val="DejaVu Sans"/>
        <family val="2"/>
        <charset val="1"/>
      </rPr>
      <t xml:space="preserve">(USD)</t>
    </r>
  </si>
  <si>
    <r>
      <rPr>
        <b val="true"/>
        <sz val="11"/>
        <color rgb="FFFFFFFF"/>
        <rFont val="DejaVu Sans"/>
        <family val="2"/>
      </rPr>
      <t xml:space="preserve">월비용</t>
    </r>
    <r>
      <rPr>
        <b val="true"/>
        <sz val="11"/>
        <color rgb="FFFFFFFF"/>
        <rFont val="DejaVu Sans"/>
        <family val="2"/>
        <charset val="1"/>
      </rPr>
      <t xml:space="preserve">(KRW)</t>
    </r>
  </si>
  <si>
    <t xml:space="preserve">◆ 컴퓨팅</t>
  </si>
  <si>
    <t xml:space="preserve">Amazon EC2</t>
  </si>
  <si>
    <r>
      <rPr>
        <sz val="10"/>
        <rFont val="맑은 고딕"/>
        <family val="0"/>
        <charset val="1"/>
      </rPr>
      <t xml:space="preserve">m6i.large (2vCPU, 8GB)
</t>
    </r>
    <r>
      <rPr>
        <sz val="10"/>
        <rFont val="DejaVu Sans"/>
        <family val="2"/>
      </rPr>
      <t xml:space="preserve">백엔드 </t>
    </r>
    <r>
      <rPr>
        <sz val="10"/>
        <rFont val="맑은 고딕"/>
        <family val="0"/>
        <charset val="1"/>
      </rPr>
      <t xml:space="preserve">API </t>
    </r>
    <r>
      <rPr>
        <sz val="10"/>
        <rFont val="DejaVu Sans"/>
        <family val="2"/>
      </rPr>
      <t xml:space="preserve">서버</t>
    </r>
  </si>
  <si>
    <t xml:space="preserve">730h</t>
  </si>
  <si>
    <t xml:space="preserve">Seoul On-Demand</t>
  </si>
  <si>
    <t xml:space="preserve">S3 + CloudFront</t>
  </si>
  <si>
    <r>
      <rPr>
        <sz val="10"/>
        <rFont val="DejaVu Sans"/>
        <family val="2"/>
      </rPr>
      <t xml:space="preserve">정적 웹 호스팅
</t>
    </r>
    <r>
      <rPr>
        <sz val="10"/>
        <rFont val="DejaVu Sans"/>
        <family val="2"/>
        <charset val="1"/>
      </rPr>
      <t xml:space="preserve">(S3 Origin + CF </t>
    </r>
    <r>
      <rPr>
        <sz val="10"/>
        <rFont val="DejaVu Sans"/>
        <family val="2"/>
      </rPr>
      <t xml:space="preserve">배포</t>
    </r>
    <r>
      <rPr>
        <sz val="10"/>
        <rFont val="DejaVu Sans"/>
        <family val="2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</si>
  <si>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CF </t>
    </r>
    <r>
      <rPr>
        <sz val="9"/>
        <color rgb="FF666666"/>
        <rFont val="DejaVu Sans"/>
        <family val="2"/>
      </rPr>
      <t xml:space="preserve">비용은 네트워크에 포함</t>
    </r>
  </si>
  <si>
    <t xml:space="preserve">◆ 데이터베이스</t>
  </si>
  <si>
    <t xml:space="preserve">Amazon RDS</t>
  </si>
  <si>
    <t xml:space="preserve">db.m6i.large MariaDB
(2vCPU, 8GB, Single-AZ)</t>
  </si>
  <si>
    <r>
      <rPr>
        <sz val="9"/>
        <color rgb="FF666666"/>
        <rFont val="맑은 고딕"/>
        <family val="0"/>
        <charset val="1"/>
      </rPr>
      <t xml:space="preserve">Seoul </t>
    </r>
    <r>
      <rPr>
        <sz val="9"/>
        <color rgb="FF666666"/>
        <rFont val="DejaVu Sans"/>
        <family val="2"/>
      </rPr>
      <t xml:space="preserve">추정 단가</t>
    </r>
  </si>
  <si>
    <t xml:space="preserve">RDS Storage</t>
  </si>
  <si>
    <t xml:space="preserve">gp3 100GB</t>
  </si>
  <si>
    <t xml:space="preserve">100GB</t>
  </si>
  <si>
    <t xml:space="preserve">자동 확장 가능</t>
  </si>
  <si>
    <t xml:space="preserve">◆ 스토리지</t>
  </si>
  <si>
    <t xml:space="preserve">Amazon S3</t>
  </si>
  <si>
    <r>
      <rPr>
        <sz val="10"/>
        <rFont val="맑은 고딕"/>
        <family val="0"/>
        <charset val="1"/>
      </rPr>
      <t xml:space="preserve">Standard 1TB (1,024GB)
(CAD</t>
    </r>
    <r>
      <rPr>
        <sz val="10"/>
        <rFont val="DejaVu Sans"/>
        <family val="2"/>
      </rPr>
      <t xml:space="preserve">도면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문서</t>
    </r>
    <r>
      <rPr>
        <sz val="10"/>
        <rFont val="맑은 고딕"/>
        <family val="0"/>
        <charset val="1"/>
      </rPr>
      <t xml:space="preserve">)</t>
    </r>
  </si>
  <si>
    <t xml:space="preserve">1024GB</t>
  </si>
  <si>
    <r>
      <rPr>
        <sz val="9"/>
        <color rgb="FF666666"/>
        <rFont val="DejaVu Sans"/>
        <family val="2"/>
      </rPr>
      <t xml:space="preserve">첫 </t>
    </r>
    <r>
      <rPr>
        <sz val="9"/>
        <color rgb="FF666666"/>
        <rFont val="DejaVu Sans"/>
        <family val="2"/>
        <charset val="1"/>
      </rPr>
      <t xml:space="preserve">50TB </t>
    </r>
    <r>
      <rPr>
        <sz val="9"/>
        <color rgb="FF666666"/>
        <rFont val="DejaVu Sans"/>
        <family val="2"/>
      </rPr>
      <t xml:space="preserve">기준 단가</t>
    </r>
  </si>
  <si>
    <r>
      <rPr>
        <sz val="10"/>
        <rFont val="맑은 고딕"/>
        <family val="0"/>
        <charset val="1"/>
      </rPr>
      <t xml:space="preserve">PUT 50K + GET 500K</t>
    </r>
    <r>
      <rPr>
        <sz val="10"/>
        <rFont val="DejaVu Sans"/>
        <family val="2"/>
      </rPr>
      <t xml:space="preserve">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</si>
  <si>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sz val="9"/>
        <color rgb="FF666666"/>
        <rFont val="맑은 고딕"/>
        <family val="0"/>
        <charset val="1"/>
      </rPr>
      <t xml:space="preserve">1TB </t>
    </r>
    <r>
      <rPr>
        <sz val="9"/>
        <color rgb="FF666666"/>
        <rFont val="DejaVu Sans"/>
        <family val="2"/>
      </rPr>
      <t xml:space="preserve">트래픽 기준</t>
    </r>
  </si>
  <si>
    <t xml:space="preserve">◆ 네트워크</t>
  </si>
  <si>
    <t xml:space="preserve">Application Load Balancer</t>
  </si>
  <si>
    <r>
      <rPr>
        <sz val="9"/>
        <color rgb="FF666666"/>
        <rFont val="맑은 고딕"/>
        <family val="0"/>
        <charset val="1"/>
      </rPr>
      <t xml:space="preserve">HTTPS </t>
    </r>
    <r>
      <rPr>
        <sz val="9"/>
        <color rgb="FF666666"/>
        <rFont val="DejaVu Sans"/>
        <family val="2"/>
      </rPr>
      <t xml:space="preserve">종단점</t>
    </r>
  </si>
  <si>
    <r>
      <rPr>
        <sz val="10"/>
        <rFont val="맑은 고딕"/>
        <family val="0"/>
        <charset val="1"/>
      </rPr>
      <t xml:space="preserve">10GB </t>
    </r>
    <r>
      <rPr>
        <sz val="10"/>
        <rFont val="DejaVu Sans"/>
        <family val="2"/>
      </rPr>
      <t xml:space="preserve">전송 </t>
    </r>
    <r>
      <rPr>
        <sz val="10"/>
        <rFont val="맑은 고딕"/>
        <family val="0"/>
        <charset val="1"/>
      </rPr>
      <t xml:space="preserve">+ 500K </t>
    </r>
    <r>
      <rPr>
        <sz val="10"/>
        <rFont val="DejaVu Sans"/>
        <family val="2"/>
      </rPr>
      <t xml:space="preserve">요청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</si>
  <si>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sz val="9"/>
        <color rgb="FF666666"/>
        <rFont val="맑은 고딕"/>
        <family val="0"/>
        <charset val="1"/>
      </rPr>
      <t xml:space="preserve">$0.140/GB (</t>
    </r>
    <r>
      <rPr>
        <sz val="9"/>
        <color rgb="FF666666"/>
        <rFont val="DejaVu Sans"/>
        <family val="2"/>
      </rPr>
      <t xml:space="preserve">아시아</t>
    </r>
    <r>
      <rPr>
        <sz val="9"/>
        <color rgb="FF666666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</si>
  <si>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호스팅 영역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쿼리</t>
    </r>
  </si>
  <si>
    <r>
      <rPr>
        <sz val="9"/>
        <color rgb="FF666666"/>
        <rFont val="맑은 고딕"/>
        <family val="0"/>
        <charset val="1"/>
      </rPr>
      <t xml:space="preserve">DNS </t>
    </r>
    <r>
      <rPr>
        <sz val="9"/>
        <color rgb="FF666666"/>
        <rFont val="DejaVu Sans"/>
        <family val="2"/>
      </rPr>
      <t xml:space="preserve">관리</t>
    </r>
  </si>
  <si>
    <r>
      <rPr>
        <sz val="10"/>
        <rFont val="DejaVu Sans"/>
        <family val="2"/>
      </rPr>
      <t xml:space="preserve">아웃바운드 </t>
    </r>
    <r>
      <rPr>
        <sz val="10"/>
        <rFont val="DejaVu Sans"/>
        <family val="2"/>
        <charset val="1"/>
      </rPr>
      <t xml:space="preserve">~5GB/</t>
    </r>
    <r>
      <rPr>
        <sz val="10"/>
        <rFont val="DejaVu Sans"/>
        <family val="2"/>
      </rPr>
      <t xml:space="preserve">월</t>
    </r>
  </si>
  <si>
    <t xml:space="preserve">인바운드 무료</t>
  </si>
  <si>
    <r>
      <rPr>
        <b val="true"/>
        <sz val="10"/>
        <color rgb="FF1B2A4A"/>
        <rFont val="DejaVu Sans"/>
        <family val="2"/>
      </rPr>
      <t xml:space="preserve">◆ 보안</t>
    </r>
    <r>
      <rPr>
        <b val="true"/>
        <sz val="10"/>
        <color rgb="FF1B2A4A"/>
        <rFont val="DejaVu Sans"/>
        <family val="2"/>
        <charset val="1"/>
      </rPr>
      <t xml:space="preserve">/</t>
    </r>
    <r>
      <rPr>
        <b val="true"/>
        <sz val="10"/>
        <color rgb="FF1B2A4A"/>
        <rFont val="DejaVu Sans"/>
        <family val="2"/>
      </rPr>
      <t xml:space="preserve">모니터링</t>
    </r>
  </si>
  <si>
    <t xml:space="preserve">ACM</t>
  </si>
  <si>
    <r>
      <rPr>
        <sz val="10"/>
        <rFont val="맑은 고딕"/>
        <family val="0"/>
        <charset val="1"/>
      </rPr>
      <t xml:space="preserve">SSL/TLS </t>
    </r>
    <r>
      <rPr>
        <sz val="10"/>
        <rFont val="DejaVu Sans"/>
        <family val="2"/>
      </rPr>
      <t xml:space="preserve">인증서</t>
    </r>
  </si>
  <si>
    <r>
      <rPr>
        <sz val="9"/>
        <color rgb="FF666666"/>
        <rFont val="맑은 고딕"/>
        <family val="0"/>
        <charset val="1"/>
      </rPr>
      <t xml:space="preserve">ALB/CF </t>
    </r>
    <r>
      <rPr>
        <sz val="9"/>
        <color rgb="FF666666"/>
        <rFont val="DejaVu Sans"/>
        <family val="2"/>
      </rPr>
      <t xml:space="preserve">연동 시 무료</t>
    </r>
  </si>
  <si>
    <t xml:space="preserve">AWS WAF</t>
  </si>
  <si>
    <r>
      <rPr>
        <sz val="10"/>
        <rFont val="DejaVu Sans"/>
        <family val="2"/>
      </rPr>
      <t xml:space="preserve">웹 </t>
    </r>
    <r>
      <rPr>
        <sz val="10"/>
        <rFont val="DejaVu Sans"/>
        <family val="2"/>
        <charset val="1"/>
      </rPr>
      <t xml:space="preserve">ACL 1</t>
    </r>
    <r>
      <rPr>
        <sz val="10"/>
        <rFont val="DejaVu Sans"/>
        <family val="2"/>
      </rPr>
      <t xml:space="preserve">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규칙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개</t>
    </r>
  </si>
  <si>
    <r>
      <rPr>
        <sz val="9"/>
        <color rgb="FF666666"/>
        <rFont val="맑은 고딕"/>
        <family val="0"/>
        <charset val="1"/>
      </rPr>
      <t xml:space="preserve">API </t>
    </r>
    <r>
      <rPr>
        <sz val="9"/>
        <color rgb="FF666666"/>
        <rFont val="DejaVu Sans"/>
        <family val="2"/>
      </rPr>
      <t xml:space="preserve">보호</t>
    </r>
  </si>
  <si>
    <t xml:space="preserve">13</t>
  </si>
  <si>
    <t xml:space="preserve">CloudWatch</t>
  </si>
  <si>
    <r>
      <rPr>
        <sz val="10"/>
        <rFont val="DejaVu Sans"/>
        <family val="2"/>
      </rPr>
      <t xml:space="preserve">기본 모니터링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로그 </t>
    </r>
    <r>
      <rPr>
        <sz val="10"/>
        <rFont val="DejaVu Sans"/>
        <family val="2"/>
        <charset val="1"/>
      </rPr>
      <t xml:space="preserve">5GB</t>
    </r>
  </si>
  <si>
    <r>
      <rPr>
        <sz val="9"/>
        <color rgb="FF666666"/>
        <rFont val="맑은 고딕"/>
        <family val="0"/>
        <charset val="1"/>
      </rPr>
      <t xml:space="preserve">Sentry </t>
    </r>
    <r>
      <rPr>
        <sz val="9"/>
        <color rgb="FF666666"/>
        <rFont val="DejaVu Sans"/>
        <family val="2"/>
      </rPr>
      <t xml:space="preserve">보조</t>
    </r>
  </si>
  <si>
    <t xml:space="preserve">◆ 기타</t>
  </si>
  <si>
    <t xml:space="preserve">14</t>
  </si>
  <si>
    <r>
      <rPr>
        <sz val="10"/>
        <rFont val="맑은 고딕"/>
        <family val="0"/>
        <charset val="1"/>
      </rPr>
      <t xml:space="preserve">RDS </t>
    </r>
    <r>
      <rPr>
        <sz val="10"/>
        <rFont val="DejaVu Sans"/>
        <family val="2"/>
      </rPr>
      <t xml:space="preserve">자동백업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</si>
  <si>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일 보관</t>
    </r>
  </si>
  <si>
    <t xml:space="preserve">기본 무료 범위 초과분</t>
  </si>
  <si>
    <t xml:space="preserve">15</t>
  </si>
  <si>
    <r>
      <rPr>
        <sz val="10"/>
        <rFont val="맑은 고딕"/>
        <family val="0"/>
        <charset val="1"/>
      </rPr>
      <t xml:space="preserve">EBS </t>
    </r>
    <r>
      <rPr>
        <sz val="10"/>
        <rFont val="DejaVu Sans"/>
        <family val="2"/>
      </rPr>
      <t xml:space="preserve">스냅샷</t>
    </r>
  </si>
  <si>
    <r>
      <rPr>
        <sz val="10"/>
        <rFont val="DejaVu Sans"/>
        <family val="2"/>
      </rPr>
      <t xml:space="preserve">월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회</t>
    </r>
  </si>
  <si>
    <t xml:space="preserve">재해 복구용</t>
  </si>
  <si>
    <t xml:space="preserve">16</t>
  </si>
  <si>
    <t xml:space="preserve">Secrets Manager</t>
  </si>
  <si>
    <r>
      <rPr>
        <sz val="10"/>
        <rFont val="맑은 고딕"/>
        <family val="0"/>
        <charset val="1"/>
      </rPr>
      <t xml:space="preserve">DB/JWT </t>
    </r>
    <r>
      <rPr>
        <sz val="10"/>
        <rFont val="DejaVu Sans"/>
        <family val="2"/>
      </rPr>
      <t xml:space="preserve">키 등</t>
    </r>
  </si>
  <si>
    <r>
      <rPr>
        <sz val="9"/>
        <color rgb="FF666666"/>
        <rFont val="DejaVu Sans"/>
        <family val="2"/>
      </rPr>
      <t xml:space="preserve">시크릿 </t>
    </r>
    <r>
      <rPr>
        <sz val="9"/>
        <color rgb="FF666666"/>
        <rFont val="DejaVu Sans"/>
        <family val="2"/>
        <charset val="1"/>
      </rPr>
      <t xml:space="preserve">3</t>
    </r>
    <r>
      <rPr>
        <sz val="9"/>
        <color rgb="FF666666"/>
        <rFont val="DejaVu Sans"/>
        <family val="2"/>
      </rPr>
      <t xml:space="preserve">개</t>
    </r>
  </si>
  <si>
    <t xml:space="preserve">17</t>
  </si>
  <si>
    <t xml:space="preserve">예비비</t>
  </si>
  <si>
    <t xml:space="preserve">예상치 못한 비용</t>
  </si>
  <si>
    <t xml:space="preserve">트래픽 급증 등 대비</t>
  </si>
  <si>
    <t xml:space="preserve">월간 합계</t>
  </si>
  <si>
    <t xml:space="preserve">연간 합계</t>
  </si>
  <si>
    <r>
      <rPr>
        <b val="true"/>
        <sz val="14"/>
        <color rgb="FF1B2A4A"/>
        <rFont val="맑은 고딕"/>
        <family val="0"/>
        <charset val="1"/>
      </rPr>
      <t xml:space="preserve">EC2 / RDS </t>
    </r>
    <r>
      <rPr>
        <b val="true"/>
        <sz val="14"/>
        <color rgb="FF1B2A4A"/>
        <rFont val="DejaVu Sans"/>
        <family val="2"/>
      </rPr>
      <t xml:space="preserve">예약 인스턴스 비교 분석</t>
    </r>
  </si>
  <si>
    <r>
      <rPr>
        <b val="true"/>
        <sz val="11"/>
        <color rgb="FF2C3E6B"/>
        <rFont val="맑은 고딕"/>
        <family val="0"/>
        <charset val="1"/>
      </rPr>
      <t xml:space="preserve">▎ EC2 m6i.large — </t>
    </r>
    <r>
      <rPr>
        <b val="true"/>
        <sz val="11"/>
        <color rgb="FF2C3E6B"/>
        <rFont val="DejaVu Sans"/>
        <family val="2"/>
      </rPr>
      <t xml:space="preserve">결제 방식별 비교</t>
    </r>
  </si>
  <si>
    <t xml:space="preserve">항목</t>
  </si>
  <si>
    <t xml:space="preserve">On-Demand</t>
  </si>
  <si>
    <r>
      <rPr>
        <b val="true"/>
        <sz val="11"/>
        <color rgb="FFFFFFFF"/>
        <rFont val="맑은 고딕"/>
        <family val="0"/>
        <charset val="1"/>
      </rPr>
      <t xml:space="preserve">RI No Upfront
(</t>
    </r>
    <r>
      <rPr>
        <b val="true"/>
        <sz val="11"/>
        <color rgb="FFFFFFFF"/>
        <rFont val="DejaVu Sans"/>
        <family val="2"/>
      </rPr>
      <t xml:space="preserve">월 납입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</si>
  <si>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RI All Upfront
(</t>
    </r>
    <r>
      <rPr>
        <b val="true"/>
        <sz val="11"/>
        <color rgb="FFFFFFFF"/>
        <rFont val="DejaVu Sans"/>
        <family val="2"/>
      </rPr>
      <t xml:space="preserve">전액 선불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</si>
  <si>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No Upfront
</t>
    </r>
    <r>
      <rPr>
        <b val="true"/>
        <sz val="11"/>
        <color rgb="FFFFFFFF"/>
        <rFont val="DejaVu Sans"/>
        <family val="2"/>
      </rPr>
      <t xml:space="preserve">절감율</t>
    </r>
  </si>
  <si>
    <r>
      <rPr>
        <b val="true"/>
        <sz val="11"/>
        <color rgb="FFFFFFFF"/>
        <rFont val="맑은 고딕"/>
        <family val="0"/>
        <charset val="1"/>
      </rPr>
      <t xml:space="preserve">All Upfront
</t>
    </r>
    <r>
      <rPr>
        <b val="true"/>
        <sz val="11"/>
        <color rgb="FFFFFFFF"/>
        <rFont val="DejaVu Sans"/>
        <family val="2"/>
      </rPr>
      <t xml:space="preserve">절감율</t>
    </r>
  </si>
  <si>
    <t xml:space="preserve">시간당 단가</t>
  </si>
  <si>
    <t xml:space="preserve">$0.1180</t>
  </si>
  <si>
    <t xml:space="preserve">$0.0772</t>
  </si>
  <si>
    <t xml:space="preserve">$0.0720</t>
  </si>
  <si>
    <r>
      <rPr>
        <b val="true"/>
        <sz val="10"/>
        <rFont val="DejaVu Sans"/>
        <family val="2"/>
      </rPr>
      <t xml:space="preserve">월비용 </t>
    </r>
    <r>
      <rPr>
        <b val="true"/>
        <sz val="10"/>
        <rFont val="DejaVu Sans"/>
        <family val="2"/>
        <charset val="1"/>
      </rPr>
      <t xml:space="preserve">(USD)</t>
    </r>
  </si>
  <si>
    <r>
      <rPr>
        <b val="true"/>
        <sz val="10"/>
        <rFont val="DejaVu Sans"/>
        <family val="2"/>
      </rPr>
      <t xml:space="preserve">월비용 </t>
    </r>
    <r>
      <rPr>
        <b val="true"/>
        <sz val="10"/>
        <rFont val="DejaVu Sans"/>
        <family val="2"/>
        <charset val="1"/>
      </rPr>
      <t xml:space="preserve">(KRW)</t>
    </r>
  </si>
  <si>
    <r>
      <rPr>
        <b val="true"/>
        <sz val="10"/>
        <rFont val="DejaVu Sans"/>
        <family val="2"/>
      </rPr>
      <t xml:space="preserve">연비용 </t>
    </r>
    <r>
      <rPr>
        <b val="true"/>
        <sz val="10"/>
        <rFont val="DejaVu Sans"/>
        <family val="2"/>
        <charset val="1"/>
      </rPr>
      <t xml:space="preserve">(KRW)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</si>
  <si>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년 선불금</t>
    </r>
  </si>
  <si>
    <t xml:space="preserve">$630.96</t>
  </si>
  <si>
    <r>
      <rPr>
        <b val="true"/>
        <sz val="11"/>
        <color rgb="FF2C3E6B"/>
        <rFont val="맑은 고딕"/>
        <family val="0"/>
        <charset val="1"/>
      </rPr>
      <t xml:space="preserve">▎ RDS db.m6i.large MariaDB — </t>
    </r>
    <r>
      <rPr>
        <b val="true"/>
        <sz val="11"/>
        <color rgb="FF2C3E6B"/>
        <rFont val="DejaVu Sans"/>
        <family val="2"/>
      </rPr>
      <t xml:space="preserve">결제 방식별 비교</t>
    </r>
  </si>
  <si>
    <t xml:space="preserve">$0.2180</t>
  </si>
  <si>
    <t xml:space="preserve">$0.1570</t>
  </si>
  <si>
    <t xml:space="preserve">$0.1352</t>
  </si>
  <si>
    <t xml:space="preserve">$1,184.40</t>
  </si>
  <si>
    <r>
      <rPr>
        <sz val="9"/>
        <color rgb="FFC00000"/>
        <rFont val="맑은 고딕"/>
        <family val="0"/>
        <charset val="1"/>
      </rPr>
      <t xml:space="preserve">※ RDS RI </t>
    </r>
    <r>
      <rPr>
        <sz val="9"/>
        <color rgb="FFC00000"/>
        <rFont val="DejaVu Sans"/>
        <family val="2"/>
      </rPr>
      <t xml:space="preserve">단가는 </t>
    </r>
    <r>
      <rPr>
        <sz val="9"/>
        <color rgb="FFC00000"/>
        <rFont val="맑은 고딕"/>
        <family val="0"/>
        <charset val="1"/>
      </rPr>
      <t xml:space="preserve">Seoul </t>
    </r>
    <r>
      <rPr>
        <sz val="9"/>
        <color rgb="FFC00000"/>
        <rFont val="DejaVu Sans"/>
        <family val="2"/>
      </rPr>
      <t xml:space="preserve">리전 </t>
    </r>
    <r>
      <rPr>
        <sz val="9"/>
        <color rgb="FFC00000"/>
        <rFont val="맑은 고딕"/>
        <family val="0"/>
        <charset val="1"/>
      </rPr>
      <t xml:space="preserve">On-Demand </t>
    </r>
    <r>
      <rPr>
        <sz val="9"/>
        <color rgb="FFC00000"/>
        <rFont val="DejaVu Sans"/>
        <family val="2"/>
      </rPr>
      <t xml:space="preserve">대비 일반적 할인율</t>
    </r>
    <r>
      <rPr>
        <sz val="9"/>
        <color rgb="FFC00000"/>
        <rFont val="맑은 고딕"/>
        <family val="0"/>
        <charset val="1"/>
      </rPr>
      <t xml:space="preserve">(No Upfront ~28%, All Upfront ~38%)</t>
    </r>
    <r>
      <rPr>
        <sz val="9"/>
        <color rgb="FFC00000"/>
        <rFont val="DejaVu Sans"/>
        <family val="2"/>
      </rPr>
      <t xml:space="preserve">을 적용한 추정치입니다</t>
    </r>
    <r>
      <rPr>
        <sz val="9"/>
        <color rgb="FFC00000"/>
        <rFont val="맑은 고딕"/>
        <family val="0"/>
        <charset val="1"/>
      </rPr>
      <t xml:space="preserve">. </t>
    </r>
    <r>
      <rPr>
        <sz val="9"/>
        <color rgb="FFC00000"/>
        <rFont val="DejaVu Sans"/>
        <family val="2"/>
      </rPr>
      <t xml:space="preserve">실제 구매 시 </t>
    </r>
    <r>
      <rPr>
        <sz val="9"/>
        <color rgb="FFC00000"/>
        <rFont val="맑은 고딕"/>
        <family val="0"/>
        <charset val="1"/>
      </rPr>
      <t xml:space="preserve">AWS </t>
    </r>
    <r>
      <rPr>
        <sz val="9"/>
        <color rgb="FFC00000"/>
        <rFont val="DejaVu Sans"/>
        <family val="2"/>
      </rPr>
      <t xml:space="preserve">콘솔에서 확인하시기 바랍니다</t>
    </r>
    <r>
      <rPr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</si>
  <si>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4"/>
        <color rgb="FF1B2A4A"/>
        <rFont val="맑은 고딕"/>
        <family val="0"/>
        <charset val="1"/>
      </rPr>
      <t xml:space="preserve">WIMS 2.0 AWS </t>
    </r>
    <r>
      <rPr>
        <b val="true"/>
        <sz val="14"/>
        <color rgb="FF1B2A4A"/>
        <rFont val="DejaVu Sans"/>
        <family val="2"/>
      </rPr>
      <t xml:space="preserve">아키텍처 구성도 </t>
    </r>
    <r>
      <rPr>
        <b val="true"/>
        <sz val="14"/>
        <color rgb="FF1B2A4A"/>
        <rFont val="맑은 고딕"/>
        <family val="0"/>
        <charset val="1"/>
      </rPr>
      <t xml:space="preserve">(PROD)</t>
    </r>
  </si>
  <si>
    <t xml:space="preserve">사용자 접점</t>
  </si>
  <si>
    <r>
      <rPr>
        <sz val="10"/>
        <rFont val="DejaVu Sans"/>
        <family val="2"/>
      </rPr>
      <t xml:space="preserve">웹 브라우저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커튼월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창호 설계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</si>
  <si>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Android </t>
    </r>
    <r>
      <rPr>
        <sz val="10"/>
        <rFont val="DejaVu Sans"/>
        <family val="2"/>
      </rPr>
      <t xml:space="preserve">모바일
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현장실측 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</si>
  <si>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MES </t>
    </r>
    <r>
      <rPr>
        <sz val="10"/>
        <rFont val="DejaVu Sans"/>
        <family val="2"/>
      </rPr>
      <t xml:space="preserve">시스템
</t>
    </r>
    <r>
      <rPr>
        <sz val="10"/>
        <rFont val="맑은 고딕"/>
        <family val="0"/>
        <charset val="1"/>
      </rPr>
      <t xml:space="preserve">(REST API </t>
    </r>
    <r>
      <rPr>
        <sz val="10"/>
        <rFont val="DejaVu Sans"/>
        <family val="2"/>
      </rPr>
      <t xml:space="preserve">호출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</si>
  <si>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color rgb="FF1B2A4A"/>
        <rFont val="DejaVu Sans"/>
        <family val="2"/>
      </rPr>
      <t xml:space="preserve">엣지</t>
    </r>
    <r>
      <rPr>
        <b val="true"/>
        <sz val="10"/>
        <color rgb="FF1B2A4A"/>
        <rFont val="DejaVu Sans"/>
        <family val="2"/>
        <charset val="1"/>
      </rPr>
      <t xml:space="preserve">/CDN</t>
    </r>
  </si>
  <si>
    <t xml:space="preserve">Route 53
(DNS)</t>
  </si>
  <si>
    <r>
      <rPr>
        <sz val="10"/>
        <rFont val="맑은 고딕"/>
        <family val="0"/>
        <charset val="1"/>
      </rPr>
      <t xml:space="preserve">CloudFront
(</t>
    </r>
    <r>
      <rPr>
        <sz val="10"/>
        <rFont val="DejaVu Sans"/>
        <family val="2"/>
      </rPr>
      <t xml:space="preserve">정적 호스팅 </t>
    </r>
    <r>
      <rPr>
        <sz val="10"/>
        <rFont val="맑은 고딕"/>
        <family val="0"/>
        <charset val="1"/>
      </rPr>
      <t xml:space="preserve">+ CDN)</t>
    </r>
  </si>
  <si>
    <r>
      <rPr>
        <sz val="10"/>
        <rFont val="맑은 고딕"/>
        <family val="0"/>
        <charset val="1"/>
      </rPr>
      <t xml:space="preserve">AWS WAF
(API </t>
    </r>
    <r>
      <rPr>
        <sz val="10"/>
        <rFont val="DejaVu Sans"/>
        <family val="2"/>
      </rPr>
      <t xml:space="preserve">보호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</si>
  <si>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ACM
(SSL </t>
    </r>
    <r>
      <rPr>
        <sz val="10"/>
        <rFont val="DejaVu Sans"/>
        <family val="2"/>
      </rPr>
      <t xml:space="preserve">인증서</t>
    </r>
    <r>
      <rPr>
        <sz val="10"/>
        <rFont val="맑은 고딕"/>
        <family val="0"/>
        <charset val="1"/>
      </rPr>
      <t xml:space="preserve">)</t>
    </r>
  </si>
  <si>
    <t xml:space="preserve">로드밸런싱</t>
  </si>
  <si>
    <r>
      <rPr>
        <sz val="10"/>
        <rFont val="맑은 고딕"/>
        <family val="0"/>
        <charset val="1"/>
      </rPr>
      <t xml:space="preserve">ALB
(HTTPS </t>
    </r>
    <r>
      <rPr>
        <sz val="10"/>
        <rFont val="DejaVu Sans"/>
        <family val="2"/>
      </rPr>
      <t xml:space="preserve">종단점</t>
    </r>
    <r>
      <rPr>
        <sz val="10"/>
        <rFont val="맑은 고딕"/>
        <family val="0"/>
        <charset val="1"/>
      </rPr>
      <t xml:space="preserve">)</t>
    </r>
  </si>
  <si>
    <t xml:space="preserve">EC2 m6i.large
(Backend API, 2vCPU/8GB)</t>
  </si>
  <si>
    <r>
      <rPr>
        <sz val="10"/>
        <rFont val="맑은 고딕"/>
        <family val="0"/>
        <charset val="1"/>
      </rPr>
      <t xml:space="preserve">S3 </t>
    </r>
    <r>
      <rPr>
        <sz val="10"/>
        <rFont val="DejaVu Sans"/>
        <family val="2"/>
      </rPr>
      <t xml:space="preserve">정적 웹 호스팅
</t>
    </r>
    <r>
      <rPr>
        <sz val="10"/>
        <rFont val="맑은 고딕"/>
        <family val="0"/>
        <charset val="1"/>
      </rPr>
      <t xml:space="preserve">(Frontend)</t>
    </r>
  </si>
  <si>
    <t xml:space="preserve">데이터 계층</t>
  </si>
  <si>
    <t xml:space="preserve">RDS MariaDB
(db.m6i.large, 2vCPU/8GB)</t>
  </si>
  <si>
    <r>
      <rPr>
        <sz val="10"/>
        <rFont val="맑은 고딕"/>
        <family val="0"/>
        <charset val="1"/>
      </rPr>
      <t xml:space="preserve">S3 Standard 1TB
(CAD/</t>
    </r>
    <r>
      <rPr>
        <sz val="10"/>
        <rFont val="DejaVu Sans"/>
        <family val="2"/>
      </rPr>
      <t xml:space="preserve">사진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문서</t>
    </r>
    <r>
      <rPr>
        <sz val="10"/>
        <rFont val="맑은 고딕"/>
        <family val="0"/>
        <charset val="1"/>
      </rPr>
      <t xml:space="preserve">)</t>
    </r>
  </si>
  <si>
    <t xml:space="preserve">VPC
(Public + Private Subnet)</t>
  </si>
  <si>
    <r>
      <rPr>
        <sz val="10"/>
        <rFont val="맑은 고딕"/>
        <family val="0"/>
        <charset val="1"/>
      </rPr>
      <t xml:space="preserve">VPC Endpoint
(S3/RDS </t>
    </r>
    <r>
      <rPr>
        <sz val="10"/>
        <rFont val="DejaVu Sans"/>
        <family val="2"/>
      </rPr>
      <t xml:space="preserve">직접 접근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</si>
  <si>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color rgb="FF1B2A4A"/>
        <rFont val="DejaVu Sans"/>
        <family val="2"/>
      </rPr>
      <t xml:space="preserve">운영</t>
    </r>
    <r>
      <rPr>
        <b val="true"/>
        <sz val="10"/>
        <color rgb="FF1B2A4A"/>
        <rFont val="DejaVu Sans"/>
        <family val="2"/>
        <charset val="1"/>
      </rPr>
      <t xml:space="preserve">/</t>
    </r>
    <r>
      <rPr>
        <b val="true"/>
        <sz val="10"/>
        <color rgb="FF1B2A4A"/>
        <rFont val="DejaVu Sans"/>
        <family val="2"/>
      </rPr>
      <t xml:space="preserve">모니터링</t>
    </r>
  </si>
  <si>
    <r>
      <rPr>
        <sz val="10"/>
        <rFont val="맑은 고딕"/>
        <family val="0"/>
        <charset val="1"/>
      </rPr>
      <t xml:space="preserve">CloudWatch
(</t>
    </r>
    <r>
      <rPr>
        <sz val="10"/>
        <rFont val="DejaVu Sans"/>
        <family val="2"/>
      </rPr>
      <t xml:space="preserve">메트릭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로그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</si>
  <si>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Secrets Manager
(DB/JWT </t>
    </r>
    <r>
      <rPr>
        <sz val="10"/>
        <rFont val="DejaVu Sans"/>
        <family val="2"/>
      </rPr>
      <t xml:space="preserve">키 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</si>
  <si>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RDS </t>
    </r>
    <r>
      <rPr>
        <sz val="10"/>
        <rFont val="DejaVu Sans"/>
        <family val="2"/>
      </rPr>
      <t xml:space="preserve">자동백업
</t>
    </r>
    <r>
      <rPr>
        <sz val="10"/>
        <rFont val="맑은 고딕"/>
        <family val="0"/>
        <charset val="1"/>
      </rPr>
      <t xml:space="preserve">(7</t>
    </r>
    <r>
      <rPr>
        <sz val="10"/>
        <rFont val="DejaVu Sans"/>
        <family val="2"/>
      </rPr>
      <t xml:space="preserve">일 보관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</si>
  <si>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EBS </t>
    </r>
    <r>
      <rPr>
        <sz val="10"/>
        <rFont val="DejaVu Sans"/>
        <family val="2"/>
      </rPr>
      <t xml:space="preserve">스냅샷
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재해 복구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</si>
  <si>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4"/>
        <color rgb="FF1B2A4A"/>
        <rFont val="DejaVu Sans"/>
        <family val="2"/>
      </rPr>
      <t xml:space="preserve">온프레미스</t>
    </r>
    <r>
      <rPr>
        <b val="true"/>
        <sz val="14"/>
        <color rgb="FF1B2A4A"/>
        <rFont val="맑은 고딕"/>
        <family val="0"/>
        <charset val="1"/>
      </rPr>
      <t xml:space="preserve">(</t>
    </r>
    <r>
      <rPr>
        <b val="true"/>
        <sz val="14"/>
        <color rgb="FF1B2A4A"/>
        <rFont val="DejaVu Sans"/>
        <family val="2"/>
      </rPr>
      <t xml:space="preserve">자체 서버</t>
    </r>
    <r>
      <rPr>
        <b val="true"/>
        <sz val="14"/>
        <color rgb="FF1B2A4A"/>
        <rFont val="맑은 고딕"/>
        <family val="0"/>
        <charset val="1"/>
      </rPr>
      <t xml:space="preserve">) </t>
    </r>
    <r>
      <rPr>
        <b val="true"/>
        <sz val="14"/>
        <color rgb="FF1B2A4A"/>
        <rFont val="DejaVu Sans"/>
        <family val="2"/>
      </rPr>
      <t xml:space="preserve">구축 비용 산출</t>
    </r>
  </si>
  <si>
    <r>
      <rPr>
        <sz val="9"/>
        <color rgb="FF666666"/>
        <rFont val="맑은 고딕"/>
        <family val="0"/>
        <charset val="1"/>
      </rPr>
      <t xml:space="preserve">AWS m6i.large(2vCPU/8GB) </t>
    </r>
    <r>
      <rPr>
        <sz val="9"/>
        <color rgb="FF666666"/>
        <rFont val="DejaVu Sans"/>
        <family val="2"/>
      </rPr>
      <t xml:space="preserve">동등 스펙 기준  </t>
    </r>
    <r>
      <rPr>
        <sz val="9"/>
        <color rgb="FF666666"/>
        <rFont val="맑은 고딕"/>
        <family val="0"/>
        <charset val="1"/>
      </rPr>
      <t xml:space="preserve">|  2026.03 </t>
    </r>
    <r>
      <rPr>
        <sz val="9"/>
        <color rgb="FF666666"/>
        <rFont val="DejaVu Sans"/>
        <family val="2"/>
      </rPr>
      <t xml:space="preserve">한국 시장가 기준</t>
    </r>
  </si>
  <si>
    <r>
      <rPr>
        <b val="true"/>
        <sz val="11"/>
        <color rgb="FF2C3E6B"/>
        <rFont val="DejaVu Sans"/>
        <family val="2"/>
      </rPr>
      <t xml:space="preserve">▎ 서버 구성 스펙 </t>
    </r>
    <r>
      <rPr>
        <b val="true"/>
        <sz val="11"/>
        <color rgb="FF2C3E6B"/>
        <rFont val="맑은 고딕"/>
        <family val="0"/>
        <charset val="1"/>
      </rPr>
      <t xml:space="preserve">(AWS m6i.large </t>
    </r>
    <r>
      <rPr>
        <b val="true"/>
        <sz val="11"/>
        <color rgb="FF2C3E6B"/>
        <rFont val="DejaVu Sans"/>
        <family val="2"/>
      </rPr>
      <t xml:space="preserve">동등 이상</t>
    </r>
    <r>
      <rPr>
        <b val="true"/>
        <sz val="11"/>
        <color rgb="FF2C3E6B"/>
        <rFont val="맑은 고딕"/>
        <family val="0"/>
        <charset val="1"/>
      </rPr>
      <t xml:space="preserve">)</t>
    </r>
  </si>
  <si>
    <t xml:space="preserve">서버 모델</t>
  </si>
  <si>
    <r>
      <rPr>
        <sz val="10"/>
        <rFont val="맑은 고딕"/>
        <family val="0"/>
        <charset val="1"/>
      </rPr>
      <t xml:space="preserve">HPE ProLiant DL20 Gen10+ </t>
    </r>
    <r>
      <rPr>
        <sz val="10"/>
        <rFont val="DejaVu Sans"/>
        <family val="2"/>
      </rPr>
      <t xml:space="preserve">또는 동급 타워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랙 서버</t>
    </r>
  </si>
  <si>
    <t xml:space="preserve">CPU</t>
  </si>
  <si>
    <r>
      <rPr>
        <sz val="10"/>
        <rFont val="맑은 고딕"/>
        <family val="0"/>
        <charset val="1"/>
      </rPr>
      <t xml:space="preserve">Intel Xeon E-2334 (4</t>
    </r>
    <r>
      <rPr>
        <sz val="10"/>
        <rFont val="DejaVu Sans"/>
        <family val="2"/>
      </rPr>
      <t xml:space="preserve">코어</t>
    </r>
    <r>
      <rPr>
        <sz val="10"/>
        <rFont val="맑은 고딕"/>
        <family val="0"/>
        <charset val="1"/>
      </rPr>
      <t xml:space="preserve">/8</t>
    </r>
    <r>
      <rPr>
        <sz val="10"/>
        <rFont val="DejaVu Sans"/>
        <family val="2"/>
      </rPr>
      <t xml:space="preserve">스레드</t>
    </r>
    <r>
      <rPr>
        <sz val="10"/>
        <rFont val="맑은 고딕"/>
        <family val="0"/>
        <charset val="1"/>
      </rPr>
      <t xml:space="preserve">, 3.4GHz) — AWS 2vCPU </t>
    </r>
    <r>
      <rPr>
        <sz val="10"/>
        <rFont val="DejaVu Sans"/>
        <family val="2"/>
      </rPr>
      <t xml:space="preserve">대비 우위</t>
    </r>
  </si>
  <si>
    <t xml:space="preserve">메모리</t>
  </si>
  <si>
    <r>
      <rPr>
        <sz val="10"/>
        <rFont val="맑은 고딕"/>
        <family val="0"/>
        <charset val="1"/>
      </rPr>
      <t xml:space="preserve">32GB DDR4 ECC — AWS 8GB </t>
    </r>
    <r>
      <rPr>
        <sz val="10"/>
        <rFont val="DejaVu Sans"/>
        <family val="2"/>
      </rPr>
      <t xml:space="preserve">대비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배 </t>
    </r>
    <r>
      <rPr>
        <sz val="10"/>
        <rFont val="맑은 고딕"/>
        <family val="0"/>
        <charset val="1"/>
      </rPr>
      <t xml:space="preserve">(APP+DB </t>
    </r>
    <r>
      <rPr>
        <sz val="10"/>
        <rFont val="DejaVu Sans"/>
        <family val="2"/>
      </rPr>
      <t xml:space="preserve">통합 운영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</si>
  <si>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OS </t>
    </r>
    <r>
      <rPr>
        <b val="true"/>
        <sz val="10"/>
        <rFont val="DejaVu Sans"/>
        <family val="2"/>
      </rPr>
      <t xml:space="preserve">디스크</t>
    </r>
  </si>
  <si>
    <r>
      <rPr>
        <sz val="10"/>
        <rFont val="맑은 고딕"/>
        <family val="0"/>
        <charset val="1"/>
      </rPr>
      <t xml:space="preserve">SSD 480GB x2 (RAID 1) — OS, </t>
    </r>
    <r>
      <rPr>
        <sz val="10"/>
        <rFont val="DejaVu Sans"/>
        <family val="2"/>
      </rPr>
      <t xml:space="preserve">애플리케이션</t>
    </r>
    <r>
      <rPr>
        <sz val="10"/>
        <rFont val="맑은 고딕"/>
        <family val="0"/>
        <charset val="1"/>
      </rPr>
      <t xml:space="preserve">, DB</t>
    </r>
  </si>
  <si>
    <t xml:space="preserve">데이터 디스크</t>
  </si>
  <si>
    <r>
      <rPr>
        <sz val="10"/>
        <rFont val="맑은 고딕"/>
        <family val="0"/>
        <charset val="1"/>
      </rPr>
      <t xml:space="preserve">SSD 1TB x2 (RAID 1) — CAD </t>
    </r>
    <r>
      <rPr>
        <sz val="10"/>
        <rFont val="DejaVu Sans"/>
        <family val="2"/>
      </rPr>
      <t xml:space="preserve">도면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문서</t>
    </r>
  </si>
  <si>
    <t xml:space="preserve">NIC</t>
  </si>
  <si>
    <r>
      <rPr>
        <sz val="10"/>
        <rFont val="맑은 고딕"/>
        <family val="0"/>
        <charset val="1"/>
      </rPr>
      <t xml:space="preserve">1GbE </t>
    </r>
    <r>
      <rPr>
        <sz val="10"/>
        <rFont val="DejaVu Sans"/>
        <family val="2"/>
      </rPr>
      <t xml:space="preserve">기본 내장</t>
    </r>
  </si>
  <si>
    <t xml:space="preserve">OS</t>
  </si>
  <si>
    <r>
      <rPr>
        <sz val="10"/>
        <rFont val="맑은 고딕"/>
        <family val="0"/>
        <charset val="1"/>
      </rPr>
      <t xml:space="preserve">Ubuntu Server 22.04 LTS (</t>
    </r>
    <r>
      <rPr>
        <sz val="10"/>
        <rFont val="DejaVu Sans"/>
        <family val="2"/>
      </rPr>
      <t xml:space="preserve">무료</t>
    </r>
    <r>
      <rPr>
        <sz val="10"/>
        <rFont val="맑은 고딕"/>
        <family val="0"/>
        <charset val="1"/>
      </rPr>
      <t xml:space="preserve">)</t>
    </r>
  </si>
  <si>
    <t xml:space="preserve">DB</t>
  </si>
  <si>
    <r>
      <rPr>
        <sz val="10"/>
        <rFont val="맑은 고딕"/>
        <family val="0"/>
        <charset val="1"/>
      </rPr>
      <t xml:space="preserve">MariaDB Community Edition (</t>
    </r>
    <r>
      <rPr>
        <sz val="10"/>
        <rFont val="DejaVu Sans"/>
        <family val="2"/>
      </rPr>
      <t xml:space="preserve">무료</t>
    </r>
    <r>
      <rPr>
        <sz val="10"/>
        <rFont val="맑은 고딕"/>
        <family val="0"/>
        <charset val="1"/>
      </rPr>
      <t xml:space="preserve">)</t>
    </r>
  </si>
  <si>
    <t xml:space="preserve">운영 방식</t>
  </si>
  <si>
    <r>
      <rPr>
        <sz val="10"/>
        <rFont val="맑은 고딕"/>
        <family val="0"/>
        <charset val="1"/>
      </rPr>
      <t xml:space="preserve">APP + DB </t>
    </r>
    <r>
      <rPr>
        <sz val="10"/>
        <rFont val="DejaVu Sans"/>
        <family val="2"/>
      </rPr>
      <t xml:space="preserve">단일 서버 통합 운영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소규모 사용자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</si>
  <si>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2C3E6B"/>
        <rFont val="DejaVu Sans"/>
        <family val="2"/>
      </rPr>
      <t xml:space="preserve">▎ 초기 투자 비용 </t>
    </r>
    <r>
      <rPr>
        <b val="true"/>
        <sz val="11"/>
        <color rgb="FF2C3E6B"/>
        <rFont val="맑은 고딕"/>
        <family val="0"/>
        <charset val="1"/>
      </rPr>
      <t xml:space="preserve">(</t>
    </r>
    <r>
      <rPr>
        <b val="true"/>
        <sz val="11"/>
        <color rgb="FF2C3E6B"/>
        <rFont val="DejaVu Sans"/>
        <family val="2"/>
      </rPr>
      <t xml:space="preserve">일회성</t>
    </r>
    <r>
      <rPr>
        <b val="true"/>
        <sz val="11"/>
        <color rgb="FF2C3E6B"/>
        <rFont val="맑은 고딕"/>
        <family val="0"/>
        <charset val="1"/>
      </rPr>
      <t xml:space="preserve">)</t>
    </r>
  </si>
  <si>
    <t xml:space="preserve">세부 내역</t>
  </si>
  <si>
    <r>
      <rPr>
        <b val="true"/>
        <sz val="11"/>
        <color rgb="FFFFFFFF"/>
        <rFont val="DejaVu Sans"/>
        <family val="2"/>
      </rPr>
      <t xml:space="preserve">금액</t>
    </r>
    <r>
      <rPr>
        <b val="true"/>
        <sz val="11"/>
        <color rgb="FFFFFFFF"/>
        <rFont val="맑은 고딕"/>
        <family val="0"/>
        <charset val="1"/>
      </rPr>
      <t xml:space="preserve">(KRW)</t>
    </r>
  </si>
  <si>
    <r>
      <rPr>
        <b val="true"/>
        <sz val="11"/>
        <color rgb="FFFFFFFF"/>
        <rFont val="DejaVu Sans"/>
        <family val="2"/>
      </rPr>
      <t xml:space="preserve">금액</t>
    </r>
    <r>
      <rPr>
        <b val="true"/>
        <sz val="11"/>
        <color rgb="FFFFFFFF"/>
        <rFont val="맑은 고딕"/>
        <family val="0"/>
        <charset val="1"/>
      </rPr>
      <t xml:space="preserve">(USD)</t>
    </r>
  </si>
  <si>
    <t xml:space="preserve">서버 본체</t>
  </si>
  <si>
    <r>
      <rPr>
        <sz val="10"/>
        <rFont val="맑은 고딕"/>
        <family val="0"/>
        <charset val="1"/>
      </rPr>
      <t xml:space="preserve">HPE DL20G10+ E-2334
(</t>
    </r>
    <r>
      <rPr>
        <sz val="10"/>
        <rFont val="DejaVu Sans"/>
        <family val="2"/>
      </rPr>
      <t xml:space="preserve">베이스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전원 </t>
    </r>
    <r>
      <rPr>
        <sz val="10"/>
        <rFont val="맑은 고딕"/>
        <family val="0"/>
        <charset val="1"/>
      </rPr>
      <t xml:space="preserve">600W)</t>
    </r>
  </si>
  <si>
    <t xml:space="preserve">올서버 기준 시장가</t>
  </si>
  <si>
    <t xml:space="preserve">메모리 추가</t>
  </si>
  <si>
    <r>
      <rPr>
        <sz val="10"/>
        <rFont val="맑은 고딕"/>
        <family val="0"/>
        <charset val="1"/>
      </rPr>
      <t xml:space="preserve">16GB DDR4 ECC x1
(</t>
    </r>
    <r>
      <rPr>
        <sz val="10"/>
        <rFont val="DejaVu Sans"/>
        <family val="2"/>
      </rPr>
      <t xml:space="preserve">기본</t>
    </r>
    <r>
      <rPr>
        <sz val="10"/>
        <rFont val="맑은 고딕"/>
        <family val="0"/>
        <charset val="1"/>
      </rPr>
      <t xml:space="preserve">16GB + </t>
    </r>
    <r>
      <rPr>
        <sz val="10"/>
        <rFont val="DejaVu Sans"/>
        <family val="2"/>
      </rPr>
      <t xml:space="preserve">추가</t>
    </r>
    <r>
      <rPr>
        <sz val="10"/>
        <rFont val="맑은 고딕"/>
        <family val="0"/>
        <charset val="1"/>
      </rPr>
      <t xml:space="preserve">16GB = 32GB)</t>
    </r>
  </si>
  <si>
    <r>
      <rPr>
        <sz val="9"/>
        <color rgb="FF666666"/>
        <rFont val="DejaVu Sans"/>
        <family val="2"/>
      </rPr>
      <t xml:space="preserve">서버용 </t>
    </r>
    <r>
      <rPr>
        <sz val="9"/>
        <color rgb="FF666666"/>
        <rFont val="맑은 고딕"/>
        <family val="0"/>
        <charset val="1"/>
      </rPr>
      <t xml:space="preserve">ECC RAM</t>
    </r>
  </si>
  <si>
    <r>
      <rPr>
        <sz val="10"/>
        <rFont val="맑은 고딕"/>
        <family val="0"/>
        <charset val="1"/>
      </rPr>
      <t xml:space="preserve">OS</t>
    </r>
    <r>
      <rPr>
        <sz val="10"/>
        <rFont val="DejaVu Sans"/>
        <family val="2"/>
      </rPr>
      <t xml:space="preserve">용 </t>
    </r>
    <r>
      <rPr>
        <sz val="10"/>
        <rFont val="맑은 고딕"/>
        <family val="0"/>
        <charset val="1"/>
      </rPr>
      <t xml:space="preserve">SSD</t>
    </r>
  </si>
  <si>
    <t xml:space="preserve">480GB SSD x2 (RAID 1)</t>
  </si>
  <si>
    <r>
      <rPr>
        <sz val="9"/>
        <color rgb="FF666666"/>
        <rFont val="DejaVu Sans"/>
        <family val="2"/>
      </rPr>
      <t xml:space="preserve">엔터프라이즈 </t>
    </r>
    <r>
      <rPr>
        <sz val="9"/>
        <color rgb="FF666666"/>
        <rFont val="맑은 고딕"/>
        <family val="0"/>
        <charset val="1"/>
      </rPr>
      <t xml:space="preserve">SATA SSD</t>
    </r>
  </si>
  <si>
    <r>
      <rPr>
        <sz val="10"/>
        <rFont val="DejaVu Sans"/>
        <family val="2"/>
      </rPr>
      <t xml:space="preserve">데이터용 </t>
    </r>
    <r>
      <rPr>
        <sz val="10"/>
        <rFont val="맑은 고딕"/>
        <family val="0"/>
        <charset val="1"/>
      </rPr>
      <t xml:space="preserve">SSD</t>
    </r>
  </si>
  <si>
    <r>
      <rPr>
        <sz val="10"/>
        <rFont val="맑은 고딕"/>
        <family val="0"/>
        <charset val="1"/>
      </rPr>
      <t xml:space="preserve">1TB SSD x2 (RAID 1)
CAD/</t>
    </r>
    <r>
      <rPr>
        <sz val="10"/>
        <rFont val="DejaVu Sans"/>
        <family val="2"/>
      </rPr>
      <t xml:space="preserve">사진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문서 저장</t>
    </r>
  </si>
  <si>
    <r>
      <rPr>
        <sz val="9"/>
        <color rgb="FF666666"/>
        <rFont val="DejaVu Sans"/>
        <family val="2"/>
      </rPr>
      <t xml:space="preserve">삼성 </t>
    </r>
    <r>
      <rPr>
        <sz val="9"/>
        <color rgb="FF666666"/>
        <rFont val="맑은 고딕"/>
        <family val="0"/>
        <charset val="1"/>
      </rPr>
      <t xml:space="preserve">870 EVO </t>
    </r>
    <r>
      <rPr>
        <sz val="9"/>
        <color rgb="FF666666"/>
        <rFont val="DejaVu Sans"/>
        <family val="2"/>
      </rPr>
      <t xml:space="preserve">동급</t>
    </r>
  </si>
  <si>
    <r>
      <rPr>
        <sz val="10"/>
        <rFont val="DejaVu Sans"/>
        <family val="2"/>
      </rPr>
      <t xml:space="preserve">외장 백업 </t>
    </r>
    <r>
      <rPr>
        <sz val="10"/>
        <rFont val="맑은 고딕"/>
        <family val="0"/>
        <charset val="1"/>
      </rPr>
      <t xml:space="preserve">HDD</t>
    </r>
  </si>
  <si>
    <r>
      <rPr>
        <sz val="10"/>
        <rFont val="맑은 고딕"/>
        <family val="0"/>
        <charset val="1"/>
      </rPr>
      <t xml:space="preserve">4TB USB HDD x1
(</t>
    </r>
    <r>
      <rPr>
        <sz val="10"/>
        <rFont val="DejaVu Sans"/>
        <family val="2"/>
      </rPr>
      <t xml:space="preserve">일일 백업용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</si>
  <si>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UPS (</t>
    </r>
    <r>
      <rPr>
        <sz val="10"/>
        <rFont val="DejaVu Sans"/>
        <family val="2"/>
      </rPr>
      <t xml:space="preserve">무정전전원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</si>
  <si>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1000VA/600W
(</t>
    </r>
    <r>
      <rPr>
        <sz val="10"/>
        <rFont val="DejaVu Sans"/>
        <family val="2"/>
      </rPr>
      <t xml:space="preserve">정전 대비 </t>
    </r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분 이상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</si>
  <si>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APC/</t>
    </r>
    <r>
      <rPr>
        <sz val="9"/>
        <color rgb="FF666666"/>
        <rFont val="DejaVu Sans"/>
        <family val="2"/>
      </rPr>
      <t xml:space="preserve">이톤 동급</t>
    </r>
  </si>
  <si>
    <t xml:space="preserve">네트워크 장비</t>
  </si>
  <si>
    <r>
      <rPr>
        <sz val="10"/>
        <rFont val="맑은 고딕"/>
        <family val="0"/>
        <charset val="1"/>
      </rPr>
      <t xml:space="preserve">L2 </t>
    </r>
    <r>
      <rPr>
        <sz val="10"/>
        <rFont val="DejaVu Sans"/>
        <family val="2"/>
      </rPr>
      <t xml:space="preserve">스위치 </t>
    </r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포트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방화벽
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기존 사내 장비 활용 가능</t>
    </r>
    <r>
      <rPr>
        <sz val="10"/>
        <rFont val="맑은 고딕"/>
        <family val="0"/>
        <charset val="1"/>
      </rPr>
      <t xml:space="preserve">)</t>
    </r>
  </si>
  <si>
    <t xml:space="preserve">신규 구매 시 기준</t>
  </si>
  <si>
    <r>
      <rPr>
        <sz val="10"/>
        <rFont val="맑은 고딕"/>
        <family val="0"/>
        <charset val="1"/>
      </rPr>
      <t xml:space="preserve">SSL </t>
    </r>
    <r>
      <rPr>
        <sz val="10"/>
        <rFont val="DejaVu Sans"/>
        <family val="2"/>
      </rPr>
      <t xml:space="preserve">인증서</t>
    </r>
  </si>
  <si>
    <r>
      <rPr>
        <sz val="10"/>
        <rFont val="맑은 고딕"/>
        <family val="0"/>
        <charset val="1"/>
      </rPr>
      <t xml:space="preserve">Let's Encrypt (</t>
    </r>
    <r>
      <rPr>
        <sz val="10"/>
        <rFont val="DejaVu Sans"/>
        <family val="2"/>
      </rPr>
      <t xml:space="preserve">무료</t>
    </r>
    <r>
      <rPr>
        <sz val="10"/>
        <rFont val="맑은 고딕"/>
        <family val="0"/>
        <charset val="1"/>
      </rPr>
      <t xml:space="preserve">)
</t>
    </r>
    <r>
      <rPr>
        <sz val="10"/>
        <rFont val="DejaVu Sans"/>
        <family val="2"/>
      </rPr>
      <t xml:space="preserve">또는 유료 인증서</t>
    </r>
  </si>
  <si>
    <r>
      <rPr>
        <sz val="9"/>
        <color rgb="FF666666"/>
        <rFont val="맑은 고딕"/>
        <family val="0"/>
        <charset val="1"/>
      </rPr>
      <t xml:space="preserve">Let's Encrypt </t>
    </r>
    <r>
      <rPr>
        <sz val="9"/>
        <color rgb="FF666666"/>
        <rFont val="DejaVu Sans"/>
        <family val="2"/>
      </rPr>
      <t xml:space="preserve">자동 갱신</t>
    </r>
  </si>
  <si>
    <r>
      <rPr>
        <sz val="10"/>
        <rFont val="맑은 고딕"/>
        <family val="0"/>
        <charset val="1"/>
      </rPr>
      <t xml:space="preserve">OS/SW </t>
    </r>
    <r>
      <rPr>
        <sz val="10"/>
        <rFont val="DejaVu Sans"/>
        <family val="2"/>
      </rPr>
      <t xml:space="preserve">라이센스</t>
    </r>
  </si>
  <si>
    <r>
      <rPr>
        <sz val="10"/>
        <rFont val="맑은 고딕"/>
        <family val="0"/>
        <charset val="1"/>
      </rPr>
      <t xml:space="preserve">Ubuntu + MariaDB + Nginx
(</t>
    </r>
    <r>
      <rPr>
        <sz val="10"/>
        <rFont val="DejaVu Sans"/>
        <family val="2"/>
      </rPr>
      <t xml:space="preserve">전부 오픈소스 무료</t>
    </r>
    <r>
      <rPr>
        <sz val="10"/>
        <rFont val="맑은 고딕"/>
        <family val="0"/>
        <charset val="1"/>
      </rPr>
      <t xml:space="preserve">)</t>
    </r>
  </si>
  <si>
    <t xml:space="preserve">상용 라이센스 불필요</t>
  </si>
  <si>
    <r>
      <rPr>
        <sz val="10"/>
        <rFont val="DejaVu Sans"/>
        <family val="2"/>
      </rPr>
      <t xml:space="preserve">설치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세팅 비용</t>
    </r>
  </si>
  <si>
    <r>
      <rPr>
        <sz val="10"/>
        <rFont val="DejaVu Sans"/>
        <family val="2"/>
      </rPr>
      <t xml:space="preserve">서버 설치</t>
    </r>
    <r>
      <rPr>
        <sz val="10"/>
        <rFont val="맑은 고딕"/>
        <family val="0"/>
        <charset val="1"/>
      </rPr>
      <t xml:space="preserve">, OS/DB/</t>
    </r>
    <r>
      <rPr>
        <sz val="10"/>
        <rFont val="DejaVu Sans"/>
        <family val="2"/>
      </rPr>
      <t xml:space="preserve">앱 세팅
네트워크 구성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보안 설정</t>
    </r>
  </si>
  <si>
    <t xml:space="preserve">내부 처리 시 절감 가능</t>
  </si>
  <si>
    <t xml:space="preserve">초기 투자 합계</t>
  </si>
  <si>
    <t xml:space="preserve">▎ 월간 운영 비용</t>
  </si>
  <si>
    <t xml:space="preserve">전기료</t>
  </si>
  <si>
    <r>
      <rPr>
        <sz val="10"/>
        <rFont val="DejaVu Sans"/>
        <family val="2"/>
      </rPr>
      <t xml:space="preserve">서버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대 </t>
    </r>
    <r>
      <rPr>
        <sz val="10"/>
        <rFont val="맑은 고딕"/>
        <family val="0"/>
        <charset val="1"/>
      </rPr>
      <t xml:space="preserve">(~200W </t>
    </r>
    <r>
      <rPr>
        <sz val="10"/>
        <rFont val="DejaVu Sans"/>
        <family val="2"/>
      </rPr>
      <t xml:space="preserve">평균</t>
    </r>
    <r>
      <rPr>
        <sz val="10"/>
        <rFont val="맑은 고딕"/>
        <family val="0"/>
        <charset val="1"/>
      </rPr>
      <t xml:space="preserve">)
24</t>
    </r>
    <r>
      <rPr>
        <sz val="10"/>
        <rFont val="DejaVu Sans"/>
        <family val="2"/>
      </rPr>
      <t xml:space="preserve">시간 </t>
    </r>
    <r>
      <rPr>
        <sz val="10"/>
        <rFont val="맑은 고딕"/>
        <family val="0"/>
        <charset val="1"/>
      </rPr>
      <t xml:space="preserve">x 30</t>
    </r>
    <r>
      <rPr>
        <sz val="10"/>
        <rFont val="DejaVu Sans"/>
        <family val="2"/>
      </rPr>
      <t xml:space="preserve">일 ≈ </t>
    </r>
    <r>
      <rPr>
        <sz val="10"/>
        <rFont val="맑은 고딕"/>
        <family val="0"/>
        <charset val="1"/>
      </rPr>
      <t xml:space="preserve">144kWh</t>
    </r>
  </si>
  <si>
    <r>
      <rPr>
        <sz val="9"/>
        <color rgb="FF666666"/>
        <rFont val="DejaVu Sans"/>
        <family val="2"/>
      </rPr>
      <t xml:space="preserve">산업용 전기 기준 </t>
    </r>
    <r>
      <rPr>
        <sz val="9"/>
        <color rgb="FF666666"/>
        <rFont val="맑은 고딕"/>
        <family val="0"/>
        <charset val="1"/>
      </rPr>
      <t xml:space="preserve">(₩140/kWh)</t>
    </r>
  </si>
  <si>
    <t xml:space="preserve">인터넷 회선</t>
  </si>
  <si>
    <r>
      <rPr>
        <sz val="10"/>
        <rFont val="DejaVu Sans"/>
        <family val="2"/>
      </rPr>
      <t xml:space="preserve">고정 </t>
    </r>
    <r>
      <rPr>
        <sz val="10"/>
        <rFont val="맑은 고딕"/>
        <family val="0"/>
        <charset val="1"/>
      </rPr>
      <t xml:space="preserve">IP </t>
    </r>
    <r>
      <rPr>
        <sz val="10"/>
        <rFont val="DejaVu Sans"/>
        <family val="2"/>
      </rPr>
      <t xml:space="preserve">포함 기업용 인터넷
</t>
    </r>
    <r>
      <rPr>
        <sz val="10"/>
        <rFont val="맑은 고딕"/>
        <family val="0"/>
        <charset val="1"/>
      </rPr>
      <t xml:space="preserve">100Mbps </t>
    </r>
    <r>
      <rPr>
        <sz val="10"/>
        <rFont val="DejaVu Sans"/>
        <family val="2"/>
      </rPr>
      <t xml:space="preserve">이상</t>
    </r>
  </si>
  <si>
    <r>
      <rPr>
        <sz val="9"/>
        <color rgb="FF666666"/>
        <rFont val="맑은 고딕"/>
        <family val="0"/>
        <charset val="1"/>
      </rPr>
      <t xml:space="preserve">KT/SKB </t>
    </r>
    <r>
      <rPr>
        <sz val="9"/>
        <color rgb="FF666666"/>
        <rFont val="DejaVu Sans"/>
        <family val="2"/>
      </rPr>
      <t xml:space="preserve">기업 인터넷</t>
    </r>
  </si>
  <si>
    <r>
      <rPr>
        <sz val="10"/>
        <rFont val="DejaVu Sans"/>
        <family val="2"/>
      </rPr>
      <t xml:space="preserve">도메인</t>
    </r>
    <r>
      <rPr>
        <sz val="10"/>
        <rFont val="맑은 고딕"/>
        <family val="0"/>
        <charset val="1"/>
      </rPr>
      <t xml:space="preserve">/DNS</t>
    </r>
  </si>
  <si>
    <r>
      <rPr>
        <sz val="10"/>
        <rFont val="DejaVu Sans"/>
        <family val="2"/>
      </rPr>
      <t xml:space="preserve">도메인 유지 </t>
    </r>
    <r>
      <rPr>
        <sz val="10"/>
        <rFont val="맑은 고딕"/>
        <family val="0"/>
        <charset val="1"/>
      </rPr>
      <t xml:space="preserve">+ DNS </t>
    </r>
    <r>
      <rPr>
        <sz val="10"/>
        <rFont val="DejaVu Sans"/>
        <family val="2"/>
      </rPr>
      <t xml:space="preserve">관리</t>
    </r>
  </si>
  <si>
    <r>
      <rPr>
        <sz val="9"/>
        <color rgb="FF666666"/>
        <rFont val="DejaVu Sans"/>
        <family val="2"/>
      </rPr>
      <t xml:space="preserve">연 ₩</t>
    </r>
    <r>
      <rPr>
        <sz val="9"/>
        <color rgb="FF666666"/>
        <rFont val="맑은 고딕"/>
        <family val="0"/>
        <charset val="1"/>
      </rPr>
      <t xml:space="preserve">24,000 </t>
    </r>
    <r>
      <rPr>
        <sz val="9"/>
        <color rgb="FF666666"/>
        <rFont val="DejaVu Sans"/>
        <family val="2"/>
      </rPr>
      <t xml:space="preserve">월할</t>
    </r>
  </si>
  <si>
    <t xml:space="preserve">하드웨어 유지보수</t>
  </si>
  <si>
    <r>
      <rPr>
        <sz val="10"/>
        <rFont val="DejaVu Sans"/>
        <family val="2"/>
      </rPr>
      <t xml:space="preserve">연 장비가의 </t>
    </r>
    <r>
      <rPr>
        <sz val="10"/>
        <rFont val="맑은 고딕"/>
        <family val="0"/>
        <charset val="1"/>
      </rPr>
      <t xml:space="preserve">10% / 12</t>
    </r>
    <r>
      <rPr>
        <sz val="10"/>
        <rFont val="DejaVu Sans"/>
        <family val="2"/>
      </rPr>
      <t xml:space="preserve">개월
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부품 교체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장애 대응 예비비</t>
    </r>
    <r>
      <rPr>
        <sz val="10"/>
        <rFont val="맑은 고딕"/>
        <family val="0"/>
        <charset val="1"/>
      </rPr>
      <t xml:space="preserve">)</t>
    </r>
  </si>
  <si>
    <t xml:space="preserve">보증 만료 후 적용</t>
  </si>
  <si>
    <t xml:space="preserve">백업 관리</t>
  </si>
  <si>
    <r>
      <rPr>
        <sz val="10"/>
        <rFont val="DejaVu Sans"/>
        <family val="2"/>
      </rPr>
      <t xml:space="preserve">일일 자동 백업 스크립트
</t>
    </r>
    <r>
      <rPr>
        <sz val="10"/>
        <rFont val="맑은 고딕"/>
        <family val="0"/>
        <charset val="1"/>
      </rPr>
      <t xml:space="preserve">(cron + rsync)</t>
    </r>
  </si>
  <si>
    <t xml:space="preserve">자동화 시 인건비 없음</t>
  </si>
  <si>
    <t xml:space="preserve">보안 업데이트</t>
  </si>
  <si>
    <r>
      <rPr>
        <sz val="10"/>
        <rFont val="맑은 고딕"/>
        <family val="0"/>
        <charset val="1"/>
      </rPr>
      <t xml:space="preserve">OS/SW </t>
    </r>
    <r>
      <rPr>
        <sz val="10"/>
        <rFont val="DejaVu Sans"/>
        <family val="2"/>
      </rPr>
      <t xml:space="preserve">패치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방화벽 규칙 관리</t>
    </r>
  </si>
  <si>
    <r>
      <rPr>
        <sz val="9"/>
        <color rgb="FF666666"/>
        <rFont val="DejaVu Sans"/>
        <family val="2"/>
      </rPr>
      <t xml:space="preserve">정기 패치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자체 관리</t>
    </r>
    <r>
      <rPr>
        <sz val="9"/>
        <color rgb="FF666666"/>
        <rFont val="맑은 고딕"/>
        <family val="0"/>
        <charset val="1"/>
      </rPr>
      <t xml:space="preserve">)</t>
    </r>
  </si>
  <si>
    <t xml:space="preserve">모니터링</t>
  </si>
  <si>
    <r>
      <rPr>
        <sz val="10"/>
        <rFont val="맑은 고딕"/>
        <family val="0"/>
        <charset val="1"/>
      </rPr>
      <t xml:space="preserve">Zabbix/Prometheus (</t>
    </r>
    <r>
      <rPr>
        <sz val="10"/>
        <rFont val="DejaVu Sans"/>
        <family val="2"/>
      </rPr>
      <t xml:space="preserve">오픈소스</t>
    </r>
    <r>
      <rPr>
        <sz val="10"/>
        <rFont val="맑은 고딕"/>
        <family val="0"/>
        <charset val="1"/>
      </rPr>
      <t xml:space="preserve">)
+ </t>
    </r>
    <r>
      <rPr>
        <sz val="10"/>
        <rFont val="DejaVu Sans"/>
        <family val="2"/>
      </rPr>
      <t xml:space="preserve">이메일 알림</t>
    </r>
  </si>
  <si>
    <t xml:space="preserve">오픈소스 무료</t>
  </si>
  <si>
    <t xml:space="preserve">월간 운영 합계</t>
  </si>
  <si>
    <r>
      <rPr>
        <b val="true"/>
        <sz val="14"/>
        <color rgb="FF1B2A4A"/>
        <rFont val="맑은 고딕"/>
        <family val="0"/>
        <charset val="1"/>
      </rPr>
      <t xml:space="preserve">AWS vs </t>
    </r>
    <r>
      <rPr>
        <b val="true"/>
        <sz val="14"/>
        <color rgb="FF1B2A4A"/>
        <rFont val="DejaVu Sans"/>
        <family val="2"/>
      </rPr>
      <t xml:space="preserve">온프레미스 — </t>
    </r>
    <r>
      <rPr>
        <b val="true"/>
        <sz val="14"/>
        <color rgb="FF1B2A4A"/>
        <rFont val="맑은 고딕"/>
        <family val="0"/>
        <charset val="1"/>
      </rPr>
      <t xml:space="preserve">TCO(</t>
    </r>
    <r>
      <rPr>
        <b val="true"/>
        <sz val="14"/>
        <color rgb="FF1B2A4A"/>
        <rFont val="DejaVu Sans"/>
        <family val="2"/>
      </rPr>
      <t xml:space="preserve">총소유비용</t>
    </r>
    <r>
      <rPr>
        <b val="true"/>
        <sz val="14"/>
        <color rgb="FF1B2A4A"/>
        <rFont val="맑은 고딕"/>
        <family val="0"/>
        <charset val="1"/>
      </rPr>
      <t xml:space="preserve">) </t>
    </r>
    <r>
      <rPr>
        <b val="true"/>
        <sz val="14"/>
        <color rgb="FF1B2A4A"/>
        <rFont val="DejaVu Sans"/>
        <family val="2"/>
      </rPr>
      <t xml:space="preserve">비교</t>
    </r>
  </si>
  <si>
    <r>
      <rPr>
        <sz val="9"/>
        <color rgb="FF666666"/>
        <rFont val="DejaVu Sans"/>
        <family val="2"/>
      </rPr>
      <t xml:space="preserve">동일 스펙 기준 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DejaVu Sans"/>
        <family val="2"/>
      </rPr>
      <t xml:space="preserve">년</t>
    </r>
    <r>
      <rPr>
        <sz val="9"/>
        <color rgb="FF666666"/>
        <rFont val="맑은 고딕"/>
        <family val="0"/>
        <charset val="1"/>
      </rPr>
      <t xml:space="preserve">/3</t>
    </r>
    <r>
      <rPr>
        <sz val="9"/>
        <color rgb="FF666666"/>
        <rFont val="DejaVu Sans"/>
        <family val="2"/>
      </rPr>
      <t xml:space="preserve">년</t>
    </r>
    <r>
      <rPr>
        <sz val="9"/>
        <color rgb="FF666666"/>
        <rFont val="맑은 고딕"/>
        <family val="0"/>
        <charset val="1"/>
      </rPr>
      <t xml:space="preserve">/5</t>
    </r>
    <r>
      <rPr>
        <sz val="9"/>
        <color rgb="FF666666"/>
        <rFont val="DejaVu Sans"/>
        <family val="2"/>
      </rPr>
      <t xml:space="preserve">년 총비용 비교  </t>
    </r>
    <r>
      <rPr>
        <sz val="9"/>
        <color rgb="FF666666"/>
        <rFont val="맑은 고딕"/>
        <family val="0"/>
        <charset val="1"/>
      </rPr>
      <t xml:space="preserve">|  </t>
    </r>
    <r>
      <rPr>
        <sz val="9"/>
        <color rgb="FF666666"/>
        <rFont val="DejaVu Sans"/>
        <family val="2"/>
      </rPr>
      <t xml:space="preserve">관리 인건비 미포함</t>
    </r>
  </si>
  <si>
    <r>
      <rPr>
        <b val="true"/>
        <sz val="11"/>
        <color rgb="FF2C3E6B"/>
        <rFont val="DejaVu Sans"/>
        <family val="2"/>
      </rPr>
      <t xml:space="preserve">▎ 기간별 </t>
    </r>
    <r>
      <rPr>
        <b val="true"/>
        <sz val="11"/>
        <color rgb="FF2C3E6B"/>
        <rFont val="맑은 고딕"/>
        <family val="0"/>
        <charset val="1"/>
      </rPr>
      <t xml:space="preserve">TCO </t>
    </r>
    <r>
      <rPr>
        <b val="true"/>
        <sz val="11"/>
        <color rgb="FF2C3E6B"/>
        <rFont val="DejaVu Sans"/>
        <family val="2"/>
      </rPr>
      <t xml:space="preserve">비교 </t>
    </r>
    <r>
      <rPr>
        <b val="true"/>
        <sz val="11"/>
        <color rgb="FF2C3E6B"/>
        <rFont val="맑은 고딕"/>
        <family val="0"/>
        <charset val="1"/>
      </rPr>
      <t xml:space="preserve">(KRW)</t>
    </r>
  </si>
  <si>
    <t xml:space="preserve">온프레미스</t>
  </si>
  <si>
    <t xml:space="preserve">AWS Option A
(On-Demand)</t>
  </si>
  <si>
    <r>
      <rPr>
        <b val="true"/>
        <sz val="11"/>
        <color rgb="FFFFFFFF"/>
        <rFont val="맑은 고딕"/>
        <family val="0"/>
        <charset val="1"/>
      </rPr>
      <t xml:space="preserve">AWS Option B
(RI </t>
    </r>
    <r>
      <rPr>
        <b val="true"/>
        <sz val="11"/>
        <color rgb="FFFFFFFF"/>
        <rFont val="DejaVu Sans"/>
        <family val="2"/>
      </rPr>
      <t xml:space="preserve">월납입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</si>
  <si>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AWS Option C
(RI </t>
    </r>
    <r>
      <rPr>
        <b val="true"/>
        <sz val="11"/>
        <color rgb="FFFFFFFF"/>
        <rFont val="DejaVu Sans"/>
        <family val="2"/>
      </rPr>
      <t xml:space="preserve">전액선불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</si>
  <si>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초기 투자</t>
  </si>
  <si>
    <t xml:space="preserve">월간 운영비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</si>
  <si>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TCO</t>
    </r>
  </si>
  <si>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TCO</t>
    </r>
  </si>
  <si>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DejaVu Sans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TCO
(</t>
    </r>
    <r>
      <rPr>
        <b val="true"/>
        <sz val="10"/>
        <rFont val="DejaVu Sans"/>
        <family val="2"/>
      </rPr>
      <t xml:space="preserve">온프레미스</t>
    </r>
    <r>
      <rPr>
        <b val="true"/>
        <sz val="10"/>
        <rFont val="맑은 고딕"/>
        <family val="0"/>
        <charset val="1"/>
      </rPr>
      <t xml:space="preserve">: </t>
    </r>
    <r>
      <rPr>
        <b val="true"/>
        <sz val="10"/>
        <rFont val="DejaVu Sans"/>
        <family val="2"/>
      </rPr>
      <t xml:space="preserve">장비 교체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회</t>
    </r>
    <r>
      <rPr>
        <b val="true"/>
        <sz val="10"/>
        <rFont val="맑은 고딕"/>
        <family val="0"/>
        <charset val="1"/>
      </rPr>
      <t xml:space="preserve">)</t>
    </r>
  </si>
  <si>
    <t xml:space="preserve">▎ 정성적 비교</t>
  </si>
  <si>
    <t xml:space="preserve">비교 항목</t>
  </si>
  <si>
    <r>
      <rPr>
        <b val="true"/>
        <sz val="11"/>
        <color rgb="FFFFFFFF"/>
        <rFont val="맑은 고딕"/>
        <family val="0"/>
        <charset val="1"/>
      </rPr>
      <t xml:space="preserve">AWS </t>
    </r>
    <r>
      <rPr>
        <b val="true"/>
        <sz val="11"/>
        <color rgb="FFFFFFFF"/>
        <rFont val="DejaVu Sans"/>
        <family val="2"/>
      </rPr>
      <t xml:space="preserve">클라우드</t>
    </r>
  </si>
  <si>
    <t xml:space="preserve">초기 비용</t>
  </si>
  <si>
    <r>
      <rPr>
        <sz val="10"/>
        <rFont val="DejaVu Sans"/>
        <family val="2"/>
      </rPr>
      <t xml:space="preserve">높음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장비 구매 필요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</si>
  <si>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없음 </t>
    </r>
    <r>
      <rPr>
        <sz val="10"/>
        <rFont val="맑은 고딕"/>
        <family val="0"/>
        <charset val="1"/>
      </rPr>
      <t xml:space="preserve">~ </t>
    </r>
    <r>
      <rPr>
        <sz val="10"/>
        <rFont val="DejaVu Sans"/>
        <family val="2"/>
      </rPr>
      <t xml:space="preserve">낮음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종량제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선불</t>
    </r>
    <r>
      <rPr>
        <sz val="10"/>
        <rFont val="맑은 고딕"/>
        <family val="0"/>
        <charset val="1"/>
      </rPr>
      <t xml:space="preserve">)</t>
    </r>
  </si>
  <si>
    <t xml:space="preserve">월 운영비</t>
  </si>
  <si>
    <r>
      <rPr>
        <sz val="10"/>
        <rFont val="DejaVu Sans"/>
        <family val="2"/>
      </rPr>
      <t xml:space="preserve">낮음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전기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인터넷 위주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</si>
  <si>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중간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사용량 비례</t>
    </r>
    <r>
      <rPr>
        <sz val="10"/>
        <rFont val="맑은 고딕"/>
        <family val="0"/>
        <charset val="1"/>
      </rPr>
      <t xml:space="preserve">)</t>
    </r>
  </si>
  <si>
    <t xml:space="preserve">확장성</t>
  </si>
  <si>
    <r>
      <rPr>
        <sz val="10"/>
        <rFont val="DejaVu Sans"/>
        <family val="2"/>
      </rPr>
      <t xml:space="preserve">물리적 한계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장비 추가 필요</t>
    </r>
  </si>
  <si>
    <r>
      <rPr>
        <sz val="10"/>
        <rFont val="DejaVu Sans"/>
        <family val="2"/>
      </rPr>
      <t xml:space="preserve">즉시 스케일 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다운 가능</t>
    </r>
  </si>
  <si>
    <r>
      <rPr>
        <b val="true"/>
        <sz val="10"/>
        <rFont val="DejaVu Sans"/>
        <family val="2"/>
      </rPr>
      <t xml:space="preserve">가용성</t>
    </r>
    <r>
      <rPr>
        <b val="true"/>
        <sz val="10"/>
        <rFont val="맑은 고딕"/>
        <family val="0"/>
        <charset val="1"/>
      </rPr>
      <t xml:space="preserve">(HA)</t>
    </r>
  </si>
  <si>
    <r>
      <rPr>
        <sz val="10"/>
        <rFont val="DejaVu Sans"/>
        <family val="2"/>
      </rPr>
      <t xml:space="preserve">단일 장애점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서버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</si>
  <si>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Multi-AZ, </t>
    </r>
    <r>
      <rPr>
        <sz val="10"/>
        <rFont val="DejaVu Sans"/>
        <family val="2"/>
      </rPr>
      <t xml:space="preserve">자동 복구 가능</t>
    </r>
  </si>
  <si>
    <t xml:space="preserve">재해 복구</t>
  </si>
  <si>
    <t xml:space="preserve">외장 백업 수동 복구</t>
  </si>
  <si>
    <r>
      <rPr>
        <sz val="10"/>
        <rFont val="DejaVu Sans"/>
        <family val="2"/>
      </rPr>
      <t xml:space="preserve">자동 백업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스냅샷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리전 복제</t>
    </r>
  </si>
  <si>
    <t xml:space="preserve">보안</t>
  </si>
  <si>
    <r>
      <rPr>
        <sz val="10"/>
        <rFont val="DejaVu Sans"/>
        <family val="2"/>
      </rPr>
      <t xml:space="preserve">자체 방화벽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물리적 보안 필요</t>
    </r>
  </si>
  <si>
    <r>
      <rPr>
        <sz val="10"/>
        <rFont val="맑은 고딕"/>
        <family val="0"/>
        <charset val="1"/>
      </rPr>
      <t xml:space="preserve">AWS WAF, ACM, </t>
    </r>
    <r>
      <rPr>
        <sz val="10"/>
        <rFont val="DejaVu Sans"/>
        <family val="2"/>
      </rPr>
      <t xml:space="preserve">보안 그룹 등</t>
    </r>
  </si>
  <si>
    <t xml:space="preserve">관리 부담</t>
  </si>
  <si>
    <r>
      <rPr>
        <sz val="10"/>
        <rFont val="DejaVu Sans"/>
        <family val="2"/>
      </rPr>
      <t xml:space="preserve">서버 관리자 필요 </t>
    </r>
    <r>
      <rPr>
        <sz val="10"/>
        <rFont val="맑은 고딕"/>
        <family val="0"/>
        <charset val="1"/>
      </rPr>
      <t xml:space="preserve">(HW+SW)</t>
    </r>
  </si>
  <si>
    <r>
      <rPr>
        <sz val="10"/>
        <rFont val="DejaVu Sans"/>
        <family val="2"/>
      </rPr>
      <t xml:space="preserve">인프라 관리 위임 </t>
    </r>
    <r>
      <rPr>
        <sz val="10"/>
        <rFont val="맑은 고딕"/>
        <family val="0"/>
        <charset val="1"/>
      </rPr>
      <t xml:space="preserve">(SW</t>
    </r>
    <r>
      <rPr>
        <sz val="10"/>
        <rFont val="DejaVu Sans"/>
        <family val="2"/>
      </rPr>
      <t xml:space="preserve">만 집중</t>
    </r>
    <r>
      <rPr>
        <sz val="10"/>
        <rFont val="맑은 고딕"/>
        <family val="0"/>
        <charset val="1"/>
      </rPr>
      <t xml:space="preserve">)</t>
    </r>
  </si>
  <si>
    <t xml:space="preserve">데이터 주권</t>
  </si>
  <si>
    <t xml:space="preserve">사내 서버에 데이터 보관</t>
  </si>
  <si>
    <r>
      <rPr>
        <sz val="10"/>
        <rFont val="맑은 고딕"/>
        <family val="0"/>
        <charset val="1"/>
      </rPr>
      <t xml:space="preserve">AWS </t>
    </r>
    <r>
      <rPr>
        <sz val="10"/>
        <rFont val="DejaVu Sans"/>
        <family val="2"/>
      </rPr>
      <t xml:space="preserve">서울 리전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국내 보관</t>
    </r>
    <r>
      <rPr>
        <sz val="10"/>
        <rFont val="맑은 고딕"/>
        <family val="0"/>
        <charset val="1"/>
      </rPr>
      <t xml:space="preserve">)</t>
    </r>
  </si>
  <si>
    <t xml:space="preserve">장비 수명</t>
  </si>
  <si>
    <r>
      <rPr>
        <sz val="10"/>
        <rFont val="맑은 고딕"/>
        <family val="0"/>
        <charset val="1"/>
      </rPr>
      <t xml:space="preserve">3~5</t>
    </r>
    <r>
      <rPr>
        <sz val="10"/>
        <rFont val="DejaVu Sans"/>
        <family val="2"/>
      </rPr>
      <t xml:space="preserve">년 후 교체 필요</t>
    </r>
  </si>
  <si>
    <t xml:space="preserve">해당 없음</t>
  </si>
  <si>
    <t xml:space="preserve">적합 시나리오</t>
  </si>
  <si>
    <r>
      <rPr>
        <sz val="10"/>
        <rFont val="DejaVu Sans"/>
        <family val="2"/>
      </rPr>
      <t xml:space="preserve">소규모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비용 최우선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내부 </t>
    </r>
    <r>
      <rPr>
        <sz val="10"/>
        <rFont val="맑은 고딕"/>
        <family val="0"/>
        <charset val="1"/>
      </rPr>
      <t xml:space="preserve">IT</t>
    </r>
    <r>
      <rPr>
        <sz val="10"/>
        <rFont val="DejaVu Sans"/>
        <family val="2"/>
      </rPr>
      <t xml:space="preserve">팀 있음</t>
    </r>
  </si>
  <si>
    <r>
      <rPr>
        <sz val="10"/>
        <rFont val="DejaVu Sans"/>
        <family val="2"/>
      </rPr>
      <t xml:space="preserve">확장성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안정성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관리 편의 중시</t>
    </r>
  </si>
  <si>
    <r>
      <rPr>
        <sz val="9"/>
        <color rgb="FFC00000"/>
        <rFont val="DejaVu Sans"/>
        <family val="2"/>
      </rPr>
      <t xml:space="preserve">※ 비용 비교 시 관리 인건비는 미포함</t>
    </r>
    <r>
      <rPr>
        <sz val="9"/>
        <color rgb="FFC00000"/>
        <rFont val="맑은 고딕"/>
        <family val="0"/>
        <charset val="1"/>
      </rPr>
      <t xml:space="preserve">. </t>
    </r>
    <r>
      <rPr>
        <sz val="9"/>
        <color rgb="FFC00000"/>
        <rFont val="DejaVu Sans"/>
        <family val="2"/>
      </rPr>
      <t xml:space="preserve">온프레미스는 자체 서버 관리</t>
    </r>
    <r>
      <rPr>
        <sz val="9"/>
        <color rgb="FFC00000"/>
        <rFont val="맑은 고딕"/>
        <family val="0"/>
        <charset val="1"/>
      </rPr>
      <t xml:space="preserve">(HW</t>
    </r>
    <r>
      <rPr>
        <sz val="9"/>
        <color rgb="FFC00000"/>
        <rFont val="DejaVu Sans"/>
        <family val="2"/>
      </rPr>
      <t xml:space="preserve">장애 대응</t>
    </r>
    <r>
      <rPr>
        <sz val="9"/>
        <color rgb="FFC00000"/>
        <rFont val="맑은 고딕"/>
        <family val="0"/>
        <charset val="1"/>
      </rPr>
      <t xml:space="preserve">, OS</t>
    </r>
    <r>
      <rPr>
        <sz val="9"/>
        <color rgb="FFC00000"/>
        <rFont val="DejaVu Sans"/>
        <family val="2"/>
      </rPr>
      <t xml:space="preserve">패치</t>
    </r>
    <r>
      <rPr>
        <sz val="9"/>
        <color rgb="FFC00000"/>
        <rFont val="맑은 고딕"/>
        <family val="0"/>
        <charset val="1"/>
      </rPr>
      <t xml:space="preserve">, </t>
    </r>
    <r>
      <rPr>
        <sz val="9"/>
        <color rgb="FFC00000"/>
        <rFont val="DejaVu Sans"/>
        <family val="2"/>
      </rPr>
      <t xml:space="preserve">백업 등</t>
    </r>
    <r>
      <rPr>
        <sz val="9"/>
        <color rgb="FFC00000"/>
        <rFont val="맑은 고딕"/>
        <family val="0"/>
        <charset val="1"/>
      </rPr>
      <t xml:space="preserve">) </t>
    </r>
    <r>
      <rPr>
        <sz val="9"/>
        <color rgb="FFC00000"/>
        <rFont val="DejaVu Sans"/>
        <family val="2"/>
      </rPr>
      <t xml:space="preserve">인력이 필요하며</t>
    </r>
    <r>
      <rPr>
        <sz val="9"/>
        <color rgb="FFC00000"/>
        <rFont val="맑은 고딕"/>
        <family val="0"/>
        <charset val="1"/>
      </rPr>
      <t xml:space="preserve">, AWS</t>
    </r>
    <r>
      <rPr>
        <sz val="9"/>
        <color rgb="FFC00000"/>
        <rFont val="DejaVu Sans"/>
        <family val="2"/>
      </rPr>
      <t xml:space="preserve">는 인프라 관리를 클라우드에 위임하여 개발에 집중할 수 있습니다</t>
    </r>
    <r>
      <rPr>
        <sz val="9"/>
        <color rgb="FFC0000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</si>
</sst>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\₩#,##0"/>
    <numFmt numFmtId="167" formatCode="0.0%"/>
    <numFmt numFmtId="168" formatCode="\$#,##0.0000"/>
    <numFmt numFmtId="169" formatCode="\₩#,##0"/>
    <numFmt numFmtId="170" formatCode="\$#,##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맑은 고딕"/>
      <family val="0"/>
      <charset val="1"/>
    </font>
    <font>
      <b val="true"/>
      <sz val="14"/>
      <color rgb="FF1B2A4A"/>
      <name val="DejaVu Sans"/>
      <family val="2"/>
    </font>
    <font>
      <sz val="9"/>
      <color rgb="FF666666"/>
      <name val="DejaVu Sans"/>
      <family val="2"/>
    </font>
    <font>
      <sz val="9"/>
      <color rgb="FF666666"/>
      <name val="DejaVu Sans"/>
      <family val="2"/>
      <charset val="1"/>
    </font>
    <font>
      <b val="true"/>
      <sz val="11"/>
      <color rgb="FF2C3E6B"/>
      <name val="DejaVu Sans"/>
      <family val="2"/>
    </font>
    <font>
      <b val="true"/>
      <sz val="10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sz val="10"/>
      <name val="DejaVu Sans"/>
      <family val="2"/>
      <charset val="1"/>
    </font>
    <font>
      <b val="true"/>
      <sz val="10"/>
      <name val="맑은 고딕"/>
      <family val="0"/>
      <charset val="1"/>
    </font>
    <font>
      <b val="true"/>
      <sz val="11"/>
      <color rgb="FF2C3E6B"/>
      <name val="DejaVu Sans"/>
      <family val="2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sz val="10"/>
      <color rgb="FF0000FF"/>
      <name val="맑은 고딕"/>
      <family val="0"/>
      <charset val="1"/>
    </font>
    <font>
      <sz val="9"/>
      <color rgb="FF666666"/>
      <name val="맑은 고딕"/>
      <family val="0"/>
      <charset val="1"/>
    </font>
    <font>
      <b val="true"/>
      <sz val="11"/>
      <color rgb="FF1B2A4A"/>
      <name val="DejaVu Sans"/>
      <family val="2"/>
    </font>
    <font>
      <b val="true"/>
      <sz val="11"/>
      <color rgb="FF1B2A4A"/>
      <name val="DejaVu Sans"/>
      <family val="2"/>
      <charset val="1"/>
    </font>
    <font>
      <b val="true"/>
      <sz val="11"/>
      <color rgb="FFC00000"/>
      <name val="맑은 고딕"/>
      <family val="0"/>
      <charset val="1"/>
    </font>
    <font>
      <b val="true"/>
      <sz val="11"/>
      <color rgb="FF1B2A4A"/>
      <name val="맑은 고딕"/>
      <family val="0"/>
      <charset val="1"/>
    </font>
    <font>
      <b val="true"/>
      <sz val="11"/>
      <color rgb="FF2E7D32"/>
      <name val="맑은 고딕"/>
      <family val="0"/>
      <charset val="1"/>
    </font>
    <font>
      <b val="true"/>
      <sz val="11"/>
      <color rgb="FF2C3E6B"/>
      <name val="맑은 고딕"/>
      <family val="0"/>
      <charset val="1"/>
    </font>
    <font>
      <b val="true"/>
      <sz val="11"/>
      <color rgb="FFFFFFFF"/>
      <name val="DejaVu Sans"/>
      <family val="2"/>
      <charset val="1"/>
    </font>
    <font>
      <b val="true"/>
      <sz val="10"/>
      <color rgb="FF1B2A4A"/>
      <name val="DejaVu Sans"/>
      <family val="2"/>
    </font>
    <font>
      <b val="true"/>
      <sz val="10"/>
      <color rgb="FF1B2A4A"/>
      <name val="DejaVu Sans"/>
      <family val="2"/>
      <charset val="1"/>
    </font>
    <font>
      <b val="true"/>
      <sz val="12"/>
      <color rgb="FF1B2A4A"/>
      <name val="DejaVu Sans"/>
      <family val="2"/>
    </font>
    <font>
      <b val="true"/>
      <sz val="12"/>
      <color rgb="FFC00000"/>
      <name val="맑은 고딕"/>
      <family val="0"/>
      <charset val="1"/>
    </font>
    <font>
      <b val="true"/>
      <sz val="10"/>
      <name val="DejaVu Sans"/>
      <family val="2"/>
      <charset val="1"/>
    </font>
    <font>
      <sz val="9"/>
      <color rgb="FFC00000"/>
      <name val="맑은 고딕"/>
      <family val="0"/>
      <charset val="1"/>
    </font>
    <font>
      <sz val="9"/>
      <color rgb="FFC0000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DF2F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DF2F9"/>
      </patternFill>
    </fill>
    <fill>
      <patternFill patternType="solid">
        <fgColor rgb="FFD6E4F0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B0B0B0"/>
      <rgbColor rgb="FF808080"/>
      <rgbColor rgb="FF9999FF"/>
      <rgbColor rgb="FF993366"/>
      <rgbColor rgb="FFFFF2CC"/>
      <rgbColor rgb="FFEDF2F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5" min="3" style="1" width="18"/>
    <col collapsed="false" customWidth="true" hidden="false" outlineLevel="0" max="6" min="6" style="1" width="3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21.75" hidden="false" customHeight="true" outlineLevel="0" collapsed="false">
      <c r="B5" s="5" t="s">
        <v>3</v>
      </c>
      <c r="C5" s="6" t="s">
        <v>4</v>
      </c>
      <c r="D5" s="6"/>
      <c r="E5" s="6"/>
      <c r="F5" s="6"/>
    </row>
    <row r="6" customFormat="false" ht="21.75" hidden="false" customHeight="true" outlineLevel="0" collapsed="false">
      <c r="B6" s="5" t="s">
        <v>5</v>
      </c>
      <c r="C6" s="6" t="s">
        <v>6</v>
      </c>
      <c r="D6" s="6"/>
      <c r="E6" s="6"/>
      <c r="F6" s="6"/>
    </row>
    <row r="7" customFormat="false" ht="21.75" hidden="false" customHeight="true" outlineLevel="0" collapsed="false">
      <c r="B7" s="5" t="s">
        <v>7</v>
      </c>
      <c r="C7" s="6" t="s">
        <v>8</v>
      </c>
      <c r="D7" s="6"/>
      <c r="E7" s="6"/>
      <c r="F7" s="6"/>
    </row>
    <row r="8" customFormat="false" ht="21.75" hidden="false" customHeight="true" outlineLevel="0" collapsed="false">
      <c r="B8" s="5" t="s">
        <v>9</v>
      </c>
      <c r="C8" s="6" t="s">
        <v>10</v>
      </c>
      <c r="D8" s="6"/>
      <c r="E8" s="6"/>
      <c r="F8" s="6"/>
    </row>
    <row r="9" customFormat="false" ht="21.75" hidden="false" customHeight="true" outlineLevel="0" collapsed="false">
      <c r="B9" s="5" t="s">
        <v>11</v>
      </c>
      <c r="C9" s="6" t="s">
        <v>12</v>
      </c>
      <c r="D9" s="6"/>
      <c r="E9" s="6"/>
      <c r="F9" s="6"/>
    </row>
    <row r="10" customFormat="false" ht="21.75" hidden="false" customHeight="true" outlineLevel="0" collapsed="false">
      <c r="B10" s="5" t="s">
        <v>13</v>
      </c>
      <c r="C10" s="6" t="s">
        <v>14</v>
      </c>
      <c r="D10" s="6"/>
      <c r="E10" s="6"/>
      <c r="F10" s="6"/>
    </row>
    <row r="11" customFormat="false" ht="21.75" hidden="false" customHeight="true" outlineLevel="0" collapsed="false">
      <c r="B11" s="5" t="s">
        <v>15</v>
      </c>
      <c r="C11" s="7" t="s">
        <v>16</v>
      </c>
      <c r="D11" s="7"/>
      <c r="E11" s="7"/>
      <c r="F11" s="7"/>
    </row>
    <row r="12" customFormat="false" ht="21.75" hidden="false" customHeight="true" outlineLevel="0" collapsed="false">
      <c r="B12" s="5" t="s">
        <v>17</v>
      </c>
      <c r="C12" s="6" t="s">
        <v>18</v>
      </c>
      <c r="D12" s="6"/>
      <c r="E12" s="6"/>
      <c r="F12" s="6"/>
    </row>
    <row r="13" customFormat="false" ht="21.75" hidden="false" customHeight="true" outlineLevel="0" collapsed="false">
      <c r="B13" s="5" t="s">
        <v>19</v>
      </c>
      <c r="C13" s="6" t="s">
        <v>20</v>
      </c>
      <c r="D13" s="6"/>
      <c r="E13" s="6"/>
      <c r="F13" s="6"/>
    </row>
    <row r="15" customFormat="false" ht="15" hidden="false" customHeight="true" outlineLevel="0" collapsed="false">
      <c r="A15" s="4" t="s">
        <v>21</v>
      </c>
      <c r="B15" s="4"/>
      <c r="C15" s="4"/>
      <c r="D15" s="4"/>
      <c r="E15" s="4"/>
      <c r="F15" s="4"/>
    </row>
    <row r="16" customFormat="false" ht="21.75" hidden="false" customHeight="true" outlineLevel="0" collapsed="false">
      <c r="B16" s="8" t="s">
        <v>22</v>
      </c>
      <c r="C16" s="7" t="s">
        <v>23</v>
      </c>
      <c r="D16" s="7"/>
      <c r="E16" s="7"/>
      <c r="F16" s="7"/>
    </row>
    <row r="17" customFormat="false" ht="21.75" hidden="false" customHeight="true" outlineLevel="0" collapsed="false">
      <c r="B17" s="8" t="s">
        <v>24</v>
      </c>
      <c r="C17" s="6" t="s">
        <v>25</v>
      </c>
      <c r="D17" s="6"/>
      <c r="E17" s="6"/>
      <c r="F17" s="6"/>
    </row>
    <row r="18" customFormat="false" ht="21.75" hidden="false" customHeight="true" outlineLevel="0" collapsed="false">
      <c r="B18" s="8" t="s">
        <v>26</v>
      </c>
      <c r="C18" s="6" t="s">
        <v>27</v>
      </c>
      <c r="D18" s="6"/>
      <c r="E18" s="6"/>
      <c r="F18" s="6"/>
    </row>
    <row r="20" customFormat="false" ht="14.25" hidden="false" customHeight="true" outlineLevel="0" collapsed="false">
      <c r="A20" s="4" t="s">
        <v>28</v>
      </c>
      <c r="B20" s="4"/>
      <c r="C20" s="4"/>
      <c r="D20" s="4"/>
      <c r="E20" s="4"/>
      <c r="F20" s="4"/>
    </row>
    <row r="21" customFormat="false" ht="48" hidden="false" customHeight="true" outlineLevel="0" collapsed="false">
      <c r="A21" s="9"/>
      <c r="B21" s="10" t="s">
        <v>29</v>
      </c>
      <c r="C21" s="9" t="s">
        <v>30</v>
      </c>
      <c r="D21" s="9" t="s">
        <v>31</v>
      </c>
      <c r="E21" s="9" t="s">
        <v>32</v>
      </c>
      <c r="F21" s="10" t="s">
        <v>33</v>
      </c>
    </row>
    <row r="22" customFormat="false" ht="15" hidden="false" customHeight="true" outlineLevel="0" collapsed="false">
      <c r="A22" s="11" t="s">
        <v>34</v>
      </c>
      <c r="B22" s="12" t="s">
        <v>35</v>
      </c>
      <c r="C22" s="13" t="n">
        <v>86.14</v>
      </c>
      <c r="D22" s="13" t="n">
        <v>56.34</v>
      </c>
      <c r="E22" s="13" t="n">
        <v>52.58</v>
      </c>
      <c r="F22" s="14" t="s">
        <v>36</v>
      </c>
    </row>
    <row r="23" customFormat="false" ht="15" hidden="false" customHeight="true" outlineLevel="0" collapsed="false">
      <c r="A23" s="15" t="s">
        <v>37</v>
      </c>
      <c r="B23" s="16" t="s">
        <v>38</v>
      </c>
      <c r="C23" s="17" t="n">
        <v>0.5</v>
      </c>
      <c r="D23" s="17" t="n">
        <v>0.5</v>
      </c>
      <c r="E23" s="17" t="n">
        <v>0.5</v>
      </c>
      <c r="F23" s="18" t="s">
        <v>39</v>
      </c>
    </row>
    <row r="24" customFormat="false" ht="15" hidden="false" customHeight="true" outlineLevel="0" collapsed="false">
      <c r="A24" s="11" t="s">
        <v>40</v>
      </c>
      <c r="B24" s="12" t="s">
        <v>41</v>
      </c>
      <c r="C24" s="13" t="n">
        <v>159.14</v>
      </c>
      <c r="D24" s="13" t="n">
        <v>114.61</v>
      </c>
      <c r="E24" s="13" t="n">
        <v>98.7</v>
      </c>
      <c r="F24" s="19" t="s">
        <v>42</v>
      </c>
    </row>
    <row r="25" customFormat="false" ht="15" hidden="false" customHeight="true" outlineLevel="0" collapsed="false">
      <c r="A25" s="15" t="s">
        <v>43</v>
      </c>
      <c r="B25" s="16" t="s">
        <v>44</v>
      </c>
      <c r="C25" s="17" t="n">
        <v>11.5</v>
      </c>
      <c r="D25" s="17" t="n">
        <v>11.5</v>
      </c>
      <c r="E25" s="17" t="n">
        <v>11.5</v>
      </c>
      <c r="F25" s="20" t="s">
        <v>45</v>
      </c>
    </row>
    <row r="26" customFormat="false" ht="15" hidden="false" customHeight="true" outlineLevel="0" collapsed="false">
      <c r="A26" s="11" t="s">
        <v>46</v>
      </c>
      <c r="B26" s="12" t="s">
        <v>47</v>
      </c>
      <c r="C26" s="13" t="n">
        <v>25.6</v>
      </c>
      <c r="D26" s="13" t="n">
        <v>25.6</v>
      </c>
      <c r="E26" s="13" t="n">
        <v>25.6</v>
      </c>
      <c r="F26" s="14" t="s">
        <v>48</v>
      </c>
    </row>
    <row r="27" customFormat="false" ht="15" hidden="false" customHeight="true" outlineLevel="0" collapsed="false">
      <c r="A27" s="15" t="s">
        <v>49</v>
      </c>
      <c r="B27" s="16" t="s">
        <v>50</v>
      </c>
      <c r="C27" s="17" t="n">
        <v>2.25</v>
      </c>
      <c r="D27" s="17" t="n">
        <v>2.25</v>
      </c>
      <c r="E27" s="17" t="n">
        <v>2.25</v>
      </c>
      <c r="F27" s="20" t="s">
        <v>51</v>
      </c>
    </row>
    <row r="28" customFormat="false" ht="15" hidden="false" customHeight="true" outlineLevel="0" collapsed="false">
      <c r="A28" s="11" t="s">
        <v>52</v>
      </c>
      <c r="B28" s="12" t="s">
        <v>53</v>
      </c>
      <c r="C28" s="13" t="n">
        <v>19.71</v>
      </c>
      <c r="D28" s="13" t="n">
        <v>19.71</v>
      </c>
      <c r="E28" s="13" t="n">
        <v>19.71</v>
      </c>
      <c r="F28" s="14" t="s">
        <v>54</v>
      </c>
    </row>
    <row r="29" customFormat="false" ht="15" hidden="false" customHeight="true" outlineLevel="0" collapsed="false">
      <c r="A29" s="15" t="s">
        <v>55</v>
      </c>
      <c r="B29" s="16" t="s">
        <v>56</v>
      </c>
      <c r="C29" s="17" t="n">
        <v>2</v>
      </c>
      <c r="D29" s="17" t="n">
        <v>2</v>
      </c>
      <c r="E29" s="17" t="n">
        <v>2</v>
      </c>
      <c r="F29" s="20" t="s">
        <v>57</v>
      </c>
    </row>
    <row r="30" customFormat="false" ht="15" hidden="false" customHeight="true" outlineLevel="0" collapsed="false">
      <c r="A30" s="11" t="s">
        <v>58</v>
      </c>
      <c r="B30" s="12" t="s">
        <v>59</v>
      </c>
      <c r="C30" s="13" t="n">
        <v>0.76</v>
      </c>
      <c r="D30" s="13" t="n">
        <v>0.76</v>
      </c>
      <c r="E30" s="13" t="n">
        <v>0.76</v>
      </c>
      <c r="F30" s="19" t="s">
        <v>60</v>
      </c>
    </row>
    <row r="31" customFormat="false" ht="15" hidden="false" customHeight="true" outlineLevel="0" collapsed="false">
      <c r="A31" s="15" t="s">
        <v>61</v>
      </c>
      <c r="B31" s="16" t="s">
        <v>62</v>
      </c>
      <c r="C31" s="17" t="n">
        <v>4</v>
      </c>
      <c r="D31" s="17" t="n">
        <v>4</v>
      </c>
      <c r="E31" s="17" t="n">
        <v>4</v>
      </c>
      <c r="F31" s="20" t="s">
        <v>51</v>
      </c>
    </row>
    <row r="32" customFormat="false" ht="15" hidden="false" customHeight="true" outlineLevel="0" collapsed="false">
      <c r="A32" s="11" t="s">
        <v>63</v>
      </c>
      <c r="B32" s="12" t="s">
        <v>64</v>
      </c>
      <c r="C32" s="13" t="n">
        <v>15.5</v>
      </c>
      <c r="D32" s="13" t="n">
        <v>15.5</v>
      </c>
      <c r="E32" s="13" t="n">
        <v>15.5</v>
      </c>
      <c r="F32" s="14" t="s">
        <v>65</v>
      </c>
    </row>
    <row r="33" customFormat="false" ht="15" hidden="false" customHeight="true" outlineLevel="0" collapsed="false">
      <c r="A33" s="15" t="s">
        <v>66</v>
      </c>
      <c r="B33" s="21" t="s">
        <v>67</v>
      </c>
      <c r="C33" s="17" t="n">
        <v>9.1</v>
      </c>
      <c r="D33" s="17" t="n">
        <v>9.1</v>
      </c>
      <c r="E33" s="17" t="n">
        <v>9.1</v>
      </c>
      <c r="F33" s="20" t="s">
        <v>51</v>
      </c>
    </row>
    <row r="34" customFormat="false" ht="15" hidden="false" customHeight="true" outlineLevel="0" collapsed="false">
      <c r="A34" s="22"/>
      <c r="B34" s="23" t="s">
        <v>68</v>
      </c>
      <c r="C34" s="24" t="n">
        <f aca="false">SUM(C22:C33)</f>
        <v>336.2</v>
      </c>
      <c r="D34" s="24" t="n">
        <f aca="false">SUM(D22:D33)</f>
        <v>261.87</v>
      </c>
      <c r="E34" s="24" t="n">
        <f aca="false">SUM(E22:E33)</f>
        <v>242.2</v>
      </c>
      <c r="F34" s="22"/>
    </row>
    <row r="35" customFormat="false" ht="15" hidden="false" customHeight="true" outlineLevel="0" collapsed="false">
      <c r="A35" s="22"/>
      <c r="B35" s="23" t="s">
        <v>69</v>
      </c>
      <c r="C35" s="25" t="n">
        <f aca="false">C34*1499</f>
        <v>503963.8</v>
      </c>
      <c r="D35" s="25" t="n">
        <f aca="false">D34*1499</f>
        <v>392543.13</v>
      </c>
      <c r="E35" s="25" t="n">
        <f aca="false">E34*1499</f>
        <v>363057.8</v>
      </c>
      <c r="F35" s="22"/>
    </row>
    <row r="36" customFormat="false" ht="15" hidden="false" customHeight="true" outlineLevel="0" collapsed="false">
      <c r="A36" s="26"/>
      <c r="B36" s="27" t="s">
        <v>70</v>
      </c>
      <c r="C36" s="28" t="n">
        <f aca="false">C35*12</f>
        <v>6047565.6</v>
      </c>
      <c r="D36" s="28" t="n">
        <f aca="false">D35*12</f>
        <v>4710517.56</v>
      </c>
      <c r="E36" s="28" t="n">
        <f aca="false">E35*12</f>
        <v>4356693.6</v>
      </c>
      <c r="F36" s="26"/>
    </row>
    <row r="37" customFormat="false" ht="15" hidden="false" customHeight="true" outlineLevel="0" collapsed="false">
      <c r="A37" s="26"/>
      <c r="B37" s="29" t="s">
        <v>71</v>
      </c>
      <c r="C37" s="30" t="s">
        <v>72</v>
      </c>
      <c r="D37" s="31" t="n">
        <f aca="false">1-D34/C34</f>
        <v>0.221088637715645</v>
      </c>
      <c r="E37" s="31" t="n">
        <f aca="false">1-E34/C34</f>
        <v>0.279595478881618</v>
      </c>
      <c r="F37" s="26"/>
    </row>
    <row r="39" customFormat="false" ht="14.25" hidden="false" customHeight="true" outlineLevel="0" collapsed="false">
      <c r="A39" s="32" t="s">
        <v>73</v>
      </c>
      <c r="B39" s="32"/>
      <c r="C39" s="32"/>
      <c r="D39" s="32"/>
      <c r="E39" s="32"/>
      <c r="F39" s="32"/>
    </row>
    <row r="40" customFormat="false" ht="27.75" hidden="false" customHeight="true" outlineLevel="0" collapsed="false">
      <c r="A40" s="9"/>
      <c r="B40" s="10" t="s">
        <v>74</v>
      </c>
      <c r="C40" s="9" t="s">
        <v>75</v>
      </c>
      <c r="D40" s="9" t="s">
        <v>76</v>
      </c>
      <c r="E40" s="10" t="s">
        <v>77</v>
      </c>
      <c r="F40" s="10" t="s">
        <v>33</v>
      </c>
    </row>
    <row r="41" customFormat="false" ht="15" hidden="false" customHeight="true" outlineLevel="0" collapsed="false">
      <c r="A41" s="11" t="s">
        <v>34</v>
      </c>
      <c r="B41" s="33" t="s">
        <v>35</v>
      </c>
      <c r="C41" s="13" t="n">
        <v>630.96</v>
      </c>
      <c r="D41" s="34" t="n">
        <f aca="false">C41*1499</f>
        <v>945809.04</v>
      </c>
      <c r="E41" s="35" t="n">
        <f aca="false">C41/12</f>
        <v>52.58</v>
      </c>
      <c r="F41" s="19" t="s">
        <v>78</v>
      </c>
    </row>
    <row r="42" customFormat="false" ht="15" hidden="false" customHeight="true" outlineLevel="0" collapsed="false">
      <c r="A42" s="11" t="s">
        <v>37</v>
      </c>
      <c r="B42" s="33" t="s">
        <v>79</v>
      </c>
      <c r="C42" s="13" t="n">
        <v>1184.4</v>
      </c>
      <c r="D42" s="34" t="n">
        <f aca="false">C42*1499</f>
        <v>1775415.6</v>
      </c>
      <c r="E42" s="35" t="n">
        <f aca="false">C42/12</f>
        <v>98.7</v>
      </c>
      <c r="F42" s="19" t="s">
        <v>80</v>
      </c>
    </row>
    <row r="43" customFormat="false" ht="15" hidden="false" customHeight="true" outlineLevel="0" collapsed="false">
      <c r="A43" s="22"/>
      <c r="B43" s="23" t="s">
        <v>81</v>
      </c>
      <c r="C43" s="24" t="n">
        <f aca="false">SUM(C41:C42)</f>
        <v>1815.36</v>
      </c>
      <c r="D43" s="25" t="n">
        <f aca="false">C43*1499</f>
        <v>2721224.64</v>
      </c>
      <c r="E43" s="24" t="n">
        <f aca="false">C43/12</f>
        <v>151.28</v>
      </c>
      <c r="F43" s="22"/>
    </row>
    <row r="45" customFormat="false" ht="15" hidden="false" customHeight="true" outlineLevel="0" collapsed="false">
      <c r="A45" s="4" t="s">
        <v>82</v>
      </c>
      <c r="B45" s="4"/>
      <c r="C45" s="4"/>
      <c r="D45" s="4"/>
      <c r="E45" s="4"/>
      <c r="F45" s="4"/>
    </row>
    <row r="46" customFormat="false" ht="24" hidden="false" customHeight="true" outlineLevel="0" collapsed="false">
      <c r="A46" s="7" t="s">
        <v>83</v>
      </c>
      <c r="B46" s="7"/>
      <c r="C46" s="7"/>
      <c r="D46" s="7"/>
      <c r="E46" s="7"/>
      <c r="F46" s="7"/>
    </row>
    <row r="47" customFormat="false" ht="24" hidden="false" customHeight="true" outlineLevel="0" collapsed="false">
      <c r="A47" s="7" t="s">
        <v>84</v>
      </c>
      <c r="B47" s="7"/>
      <c r="C47" s="7"/>
      <c r="D47" s="7"/>
      <c r="E47" s="7"/>
      <c r="F47" s="7"/>
    </row>
    <row r="48" customFormat="false" ht="24" hidden="false" customHeight="true" outlineLevel="0" collapsed="false">
      <c r="A48" s="7" t="s">
        <v>85</v>
      </c>
      <c r="B48" s="7"/>
      <c r="C48" s="7"/>
      <c r="D48" s="7"/>
      <c r="E48" s="7"/>
      <c r="F48" s="7"/>
    </row>
  </sheetData>
  <mergeCells count="22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A15:F15"/>
    <mergeCell ref="C16:F16"/>
    <mergeCell ref="C17:F17"/>
    <mergeCell ref="C18:F18"/>
    <mergeCell ref="A20:F20"/>
    <mergeCell ref="A39:F39"/>
    <mergeCell ref="A45:F45"/>
    <mergeCell ref="A46:F46"/>
    <mergeCell ref="A47:F47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7" min="6" style="1" width="14"/>
    <col collapsed="false" customWidth="true" hidden="false" outlineLevel="0" max="8" min="8" style="1" width="30"/>
  </cols>
  <sheetData>
    <row r="1" customFormat="false" ht="31.5" hidden="false" customHeight="true" outlineLevel="0" collapsed="false">
      <c r="A1" s="36" t="s">
        <v>86</v>
      </c>
      <c r="B1" s="36"/>
      <c r="C1" s="36"/>
      <c r="D1" s="36"/>
      <c r="E1" s="36"/>
      <c r="F1" s="36"/>
      <c r="G1" s="36"/>
      <c r="H1" s="36"/>
    </row>
    <row r="2" customFormat="false" ht="15" hidden="false" customHeight="true" outlineLevel="0" collapsed="false">
      <c r="A2" s="3" t="s">
        <v>87</v>
      </c>
      <c r="B2" s="3"/>
      <c r="C2" s="3"/>
      <c r="D2" s="3"/>
      <c r="E2" s="3"/>
      <c r="F2" s="3"/>
      <c r="G2" s="3"/>
      <c r="H2" s="3"/>
    </row>
    <row r="4" customFormat="false" ht="27.75" hidden="false" customHeight="true" outlineLevel="0" collapsed="false">
      <c r="A4" s="9" t="s">
        <v>88</v>
      </c>
      <c r="B4" s="9" t="s">
        <v>89</v>
      </c>
      <c r="C4" s="10" t="s">
        <v>90</v>
      </c>
      <c r="D4" s="10" t="s">
        <v>91</v>
      </c>
      <c r="E4" s="10" t="s">
        <v>92</v>
      </c>
      <c r="F4" s="10" t="s">
        <v>93</v>
      </c>
      <c r="G4" s="10" t="s">
        <v>94</v>
      </c>
      <c r="H4" s="10" t="s">
        <v>33</v>
      </c>
    </row>
    <row r="5" customFormat="false" ht="24" hidden="false" customHeight="true" outlineLevel="0" collapsed="false">
      <c r="A5" s="37" t="s">
        <v>95</v>
      </c>
      <c r="B5" s="37"/>
      <c r="C5" s="37"/>
      <c r="D5" s="37"/>
      <c r="E5" s="37"/>
      <c r="F5" s="37"/>
      <c r="G5" s="37"/>
      <c r="H5" s="37"/>
    </row>
    <row r="6" customFormat="false" ht="30" hidden="false" customHeight="true" outlineLevel="0" collapsed="false">
      <c r="A6" s="11" t="s">
        <v>34</v>
      </c>
      <c r="B6" s="33" t="s">
        <v>96</v>
      </c>
      <c r="C6" s="12" t="s">
        <v>97</v>
      </c>
      <c r="D6" s="38" t="n">
        <v>0.118</v>
      </c>
      <c r="E6" s="11" t="s">
        <v>98</v>
      </c>
      <c r="F6" s="35" t="n">
        <v>86.14</v>
      </c>
      <c r="G6" s="34" t="n">
        <f aca="false">F6*1499</f>
        <v>129123.86</v>
      </c>
      <c r="H6" s="19" t="s">
        <v>99</v>
      </c>
    </row>
    <row r="7" customFormat="false" ht="30" hidden="false" customHeight="true" outlineLevel="0" collapsed="false">
      <c r="A7" s="11" t="s">
        <v>37</v>
      </c>
      <c r="B7" s="33" t="s">
        <v>100</v>
      </c>
      <c r="C7" s="39" t="s">
        <v>101</v>
      </c>
      <c r="D7" s="11" t="s">
        <v>72</v>
      </c>
      <c r="E7" s="11" t="s">
        <v>72</v>
      </c>
      <c r="F7" s="35" t="n">
        <v>0.5</v>
      </c>
      <c r="G7" s="34" t="n">
        <f aca="false">F7*1499</f>
        <v>749.5</v>
      </c>
      <c r="H7" s="19" t="s">
        <v>102</v>
      </c>
    </row>
    <row r="8" customFormat="false" ht="24" hidden="false" customHeight="true" outlineLevel="0" collapsed="false">
      <c r="A8" s="37" t="s">
        <v>103</v>
      </c>
      <c r="B8" s="37"/>
      <c r="C8" s="37"/>
      <c r="D8" s="37"/>
      <c r="E8" s="37"/>
      <c r="F8" s="37"/>
      <c r="G8" s="37"/>
      <c r="H8" s="37"/>
    </row>
    <row r="9" customFormat="false" ht="30" hidden="false" customHeight="true" outlineLevel="0" collapsed="false">
      <c r="A9" s="11" t="s">
        <v>40</v>
      </c>
      <c r="B9" s="33" t="s">
        <v>104</v>
      </c>
      <c r="C9" s="12" t="s">
        <v>105</v>
      </c>
      <c r="D9" s="38" t="n">
        <v>0.218</v>
      </c>
      <c r="E9" s="11" t="s">
        <v>98</v>
      </c>
      <c r="F9" s="35" t="n">
        <v>159.14</v>
      </c>
      <c r="G9" s="34" t="n">
        <f aca="false">F9*1499</f>
        <v>238550.86</v>
      </c>
      <c r="H9" s="19" t="s">
        <v>106</v>
      </c>
    </row>
    <row r="10" customFormat="false" ht="21.75" hidden="false" customHeight="true" outlineLevel="0" collapsed="false">
      <c r="A10" s="11" t="s">
        <v>43</v>
      </c>
      <c r="B10" s="33" t="s">
        <v>107</v>
      </c>
      <c r="C10" s="12" t="s">
        <v>108</v>
      </c>
      <c r="D10" s="38" t="n">
        <v>0.115</v>
      </c>
      <c r="E10" s="11" t="s">
        <v>109</v>
      </c>
      <c r="F10" s="35" t="n">
        <v>11.5</v>
      </c>
      <c r="G10" s="34" t="n">
        <f aca="false">F10*1499</f>
        <v>17238.5</v>
      </c>
      <c r="H10" s="14" t="s">
        <v>110</v>
      </c>
    </row>
    <row r="11" customFormat="false" ht="24" hidden="false" customHeight="true" outlineLevel="0" collapsed="false">
      <c r="A11" s="37" t="s">
        <v>111</v>
      </c>
      <c r="B11" s="37"/>
      <c r="C11" s="37"/>
      <c r="D11" s="37"/>
      <c r="E11" s="37"/>
      <c r="F11" s="37"/>
      <c r="G11" s="37"/>
      <c r="H11" s="37"/>
    </row>
    <row r="12" customFormat="false" ht="30" hidden="false" customHeight="true" outlineLevel="0" collapsed="false">
      <c r="A12" s="11" t="s">
        <v>46</v>
      </c>
      <c r="B12" s="33" t="s">
        <v>112</v>
      </c>
      <c r="C12" s="12" t="s">
        <v>113</v>
      </c>
      <c r="D12" s="38" t="n">
        <v>0.025</v>
      </c>
      <c r="E12" s="11" t="s">
        <v>114</v>
      </c>
      <c r="F12" s="35" t="n">
        <v>25.6</v>
      </c>
      <c r="G12" s="34" t="n">
        <f aca="false">F12*1499</f>
        <v>38374.4</v>
      </c>
      <c r="H12" s="14" t="s">
        <v>115</v>
      </c>
    </row>
    <row r="13" customFormat="false" ht="21.75" hidden="false" customHeight="true" outlineLevel="0" collapsed="false">
      <c r="A13" s="11" t="s">
        <v>49</v>
      </c>
      <c r="B13" s="33" t="s">
        <v>50</v>
      </c>
      <c r="C13" s="12" t="s">
        <v>116</v>
      </c>
      <c r="D13" s="11" t="s">
        <v>72</v>
      </c>
      <c r="E13" s="11" t="s">
        <v>72</v>
      </c>
      <c r="F13" s="35" t="n">
        <v>2.25</v>
      </c>
      <c r="G13" s="34" t="n">
        <f aca="false">F13*1499</f>
        <v>3372.75</v>
      </c>
      <c r="H13" s="19" t="s">
        <v>117</v>
      </c>
    </row>
    <row r="14" customFormat="false" ht="24" hidden="false" customHeight="true" outlineLevel="0" collapsed="false">
      <c r="A14" s="37" t="s">
        <v>118</v>
      </c>
      <c r="B14" s="37"/>
      <c r="C14" s="37"/>
      <c r="D14" s="37"/>
      <c r="E14" s="37"/>
      <c r="F14" s="37"/>
      <c r="G14" s="37"/>
      <c r="H14" s="37"/>
    </row>
    <row r="15" customFormat="false" ht="21.75" hidden="false" customHeight="true" outlineLevel="0" collapsed="false">
      <c r="A15" s="11" t="s">
        <v>52</v>
      </c>
      <c r="B15" s="33" t="s">
        <v>53</v>
      </c>
      <c r="C15" s="12" t="s">
        <v>119</v>
      </c>
      <c r="D15" s="38" t="n">
        <v>0.027</v>
      </c>
      <c r="E15" s="11" t="s">
        <v>98</v>
      </c>
      <c r="F15" s="35" t="n">
        <v>19.71</v>
      </c>
      <c r="G15" s="34" t="n">
        <f aca="false">F15*1499</f>
        <v>29545.29</v>
      </c>
      <c r="H15" s="19" t="s">
        <v>120</v>
      </c>
    </row>
    <row r="16" customFormat="false" ht="21.75" hidden="false" customHeight="true" outlineLevel="0" collapsed="false">
      <c r="A16" s="11" t="s">
        <v>55</v>
      </c>
      <c r="B16" s="33" t="s">
        <v>56</v>
      </c>
      <c r="C16" s="12" t="s">
        <v>121</v>
      </c>
      <c r="D16" s="11" t="s">
        <v>72</v>
      </c>
      <c r="E16" s="11" t="s">
        <v>72</v>
      </c>
      <c r="F16" s="35" t="n">
        <v>2</v>
      </c>
      <c r="G16" s="34" t="n">
        <f aca="false">F16*1499</f>
        <v>2998</v>
      </c>
      <c r="H16" s="19" t="s">
        <v>122</v>
      </c>
    </row>
    <row r="17" customFormat="false" ht="21.75" hidden="false" customHeight="true" outlineLevel="0" collapsed="false">
      <c r="A17" s="11" t="s">
        <v>58</v>
      </c>
      <c r="B17" s="33" t="s">
        <v>59</v>
      </c>
      <c r="C17" s="39" t="s">
        <v>123</v>
      </c>
      <c r="D17" s="38" t="n">
        <v>0.5</v>
      </c>
      <c r="E17" s="11" t="s">
        <v>34</v>
      </c>
      <c r="F17" s="35" t="n">
        <v>0.76</v>
      </c>
      <c r="G17" s="34" t="n">
        <f aca="false">F17*1499</f>
        <v>1139.24</v>
      </c>
      <c r="H17" s="19" t="s">
        <v>124</v>
      </c>
    </row>
    <row r="18" customFormat="false" ht="21.75" hidden="false" customHeight="true" outlineLevel="0" collapsed="false">
      <c r="A18" s="11" t="s">
        <v>61</v>
      </c>
      <c r="B18" s="33" t="s">
        <v>62</v>
      </c>
      <c r="C18" s="39" t="s">
        <v>125</v>
      </c>
      <c r="D18" s="11" t="s">
        <v>72</v>
      </c>
      <c r="E18" s="11" t="s">
        <v>72</v>
      </c>
      <c r="F18" s="35" t="n">
        <v>4</v>
      </c>
      <c r="G18" s="34" t="n">
        <f aca="false">F18*1499</f>
        <v>5996</v>
      </c>
      <c r="H18" s="14" t="s">
        <v>126</v>
      </c>
    </row>
    <row r="19" customFormat="false" ht="24" hidden="false" customHeight="true" outlineLevel="0" collapsed="false">
      <c r="A19" s="37" t="s">
        <v>127</v>
      </c>
      <c r="B19" s="37"/>
      <c r="C19" s="37"/>
      <c r="D19" s="37"/>
      <c r="E19" s="37"/>
      <c r="F19" s="37"/>
      <c r="G19" s="37"/>
      <c r="H19" s="37"/>
    </row>
    <row r="20" customFormat="false" ht="21.75" hidden="false" customHeight="true" outlineLevel="0" collapsed="false">
      <c r="A20" s="11" t="s">
        <v>63</v>
      </c>
      <c r="B20" s="33" t="s">
        <v>128</v>
      </c>
      <c r="C20" s="12" t="s">
        <v>129</v>
      </c>
      <c r="D20" s="11" t="s">
        <v>72</v>
      </c>
      <c r="E20" s="11" t="s">
        <v>72</v>
      </c>
      <c r="F20" s="35" t="n">
        <v>0</v>
      </c>
      <c r="G20" s="34" t="n">
        <f aca="false">F20*1499</f>
        <v>0</v>
      </c>
      <c r="H20" s="19" t="s">
        <v>130</v>
      </c>
    </row>
    <row r="21" customFormat="false" ht="21.75" hidden="false" customHeight="true" outlineLevel="0" collapsed="false">
      <c r="A21" s="11" t="s">
        <v>66</v>
      </c>
      <c r="B21" s="33" t="s">
        <v>131</v>
      </c>
      <c r="C21" s="39" t="s">
        <v>132</v>
      </c>
      <c r="D21" s="11" t="s">
        <v>72</v>
      </c>
      <c r="E21" s="11" t="s">
        <v>72</v>
      </c>
      <c r="F21" s="35" t="n">
        <v>11</v>
      </c>
      <c r="G21" s="34" t="n">
        <f aca="false">F21*1499</f>
        <v>16489</v>
      </c>
      <c r="H21" s="19" t="s">
        <v>133</v>
      </c>
    </row>
    <row r="22" customFormat="false" ht="21.75" hidden="false" customHeight="true" outlineLevel="0" collapsed="false">
      <c r="A22" s="11" t="s">
        <v>134</v>
      </c>
      <c r="B22" s="33" t="s">
        <v>135</v>
      </c>
      <c r="C22" s="39" t="s">
        <v>136</v>
      </c>
      <c r="D22" s="11" t="s">
        <v>72</v>
      </c>
      <c r="E22" s="11" t="s">
        <v>72</v>
      </c>
      <c r="F22" s="35" t="n">
        <v>4.5</v>
      </c>
      <c r="G22" s="34" t="n">
        <f aca="false">F22*1499</f>
        <v>6745.5</v>
      </c>
      <c r="H22" s="19" t="s">
        <v>137</v>
      </c>
    </row>
    <row r="23" customFormat="false" ht="24" hidden="false" customHeight="true" outlineLevel="0" collapsed="false">
      <c r="A23" s="37" t="s">
        <v>138</v>
      </c>
      <c r="B23" s="37"/>
      <c r="C23" s="37"/>
      <c r="D23" s="37"/>
      <c r="E23" s="37"/>
      <c r="F23" s="37"/>
      <c r="G23" s="37"/>
      <c r="H23" s="37"/>
    </row>
    <row r="24" customFormat="false" ht="21.75" hidden="false" customHeight="true" outlineLevel="0" collapsed="false">
      <c r="A24" s="11" t="s">
        <v>139</v>
      </c>
      <c r="B24" s="33" t="s">
        <v>140</v>
      </c>
      <c r="C24" s="12" t="s">
        <v>141</v>
      </c>
      <c r="D24" s="11" t="s">
        <v>72</v>
      </c>
      <c r="E24" s="11" t="s">
        <v>72</v>
      </c>
      <c r="F24" s="35" t="n">
        <v>2</v>
      </c>
      <c r="G24" s="34" t="n">
        <f aca="false">F24*1499</f>
        <v>2998</v>
      </c>
      <c r="H24" s="14" t="s">
        <v>142</v>
      </c>
    </row>
    <row r="25" customFormat="false" ht="21.75" hidden="false" customHeight="true" outlineLevel="0" collapsed="false">
      <c r="A25" s="11" t="s">
        <v>143</v>
      </c>
      <c r="B25" s="33" t="s">
        <v>144</v>
      </c>
      <c r="C25" s="39" t="s">
        <v>145</v>
      </c>
      <c r="D25" s="11" t="s">
        <v>72</v>
      </c>
      <c r="E25" s="11" t="s">
        <v>72</v>
      </c>
      <c r="F25" s="35" t="n">
        <v>2.5</v>
      </c>
      <c r="G25" s="34" t="n">
        <f aca="false">F25*1499</f>
        <v>3747.5</v>
      </c>
      <c r="H25" s="14" t="s">
        <v>146</v>
      </c>
    </row>
    <row r="26" customFormat="false" ht="21.75" hidden="false" customHeight="true" outlineLevel="0" collapsed="false">
      <c r="A26" s="11" t="s">
        <v>147</v>
      </c>
      <c r="B26" s="33" t="s">
        <v>148</v>
      </c>
      <c r="C26" s="12" t="s">
        <v>149</v>
      </c>
      <c r="D26" s="38" t="n">
        <v>0.4</v>
      </c>
      <c r="E26" s="11" t="s">
        <v>40</v>
      </c>
      <c r="F26" s="35" t="n">
        <v>1.6</v>
      </c>
      <c r="G26" s="34" t="n">
        <f aca="false">F26*1499</f>
        <v>2398.4</v>
      </c>
      <c r="H26" s="14" t="s">
        <v>150</v>
      </c>
    </row>
    <row r="27" customFormat="false" ht="21.75" hidden="false" customHeight="true" outlineLevel="0" collapsed="false">
      <c r="A27" s="11" t="s">
        <v>151</v>
      </c>
      <c r="B27" s="40" t="s">
        <v>152</v>
      </c>
      <c r="C27" s="39" t="s">
        <v>153</v>
      </c>
      <c r="D27" s="11" t="s">
        <v>72</v>
      </c>
      <c r="E27" s="11" t="s">
        <v>72</v>
      </c>
      <c r="F27" s="35" t="n">
        <v>3</v>
      </c>
      <c r="G27" s="34" t="n">
        <f aca="false">F27*1499</f>
        <v>4497</v>
      </c>
      <c r="H27" s="14" t="s">
        <v>154</v>
      </c>
    </row>
    <row r="28" customFormat="false" ht="15" hidden="false" customHeight="true" outlineLevel="0" collapsed="false">
      <c r="A28" s="41" t="s">
        <v>155</v>
      </c>
      <c r="B28" s="41"/>
      <c r="C28" s="41"/>
      <c r="D28" s="41"/>
      <c r="E28" s="41"/>
      <c r="F28" s="42" t="n">
        <f aca="false">F6+F7+F9+F10+F12+F13+F15+F16+F17+F18+F20+F21+F22+F24+F25+F26+F27</f>
        <v>336.2</v>
      </c>
      <c r="G28" s="43" t="n">
        <f aca="false">F28*1499</f>
        <v>503963.8</v>
      </c>
      <c r="H28" s="22"/>
    </row>
    <row r="29" customFormat="false" ht="15" hidden="false" customHeight="true" outlineLevel="0" collapsed="false">
      <c r="A29" s="44" t="s">
        <v>156</v>
      </c>
      <c r="B29" s="44"/>
      <c r="C29" s="44"/>
      <c r="D29" s="44"/>
      <c r="E29" s="44"/>
      <c r="F29" s="45" t="n">
        <f aca="false">F28*12</f>
        <v>4034.4</v>
      </c>
      <c r="G29" s="46" t="n">
        <f aca="false">G28*12</f>
        <v>6047565.6</v>
      </c>
      <c r="H29" s="26"/>
    </row>
  </sheetData>
  <mergeCells count="10">
    <mergeCell ref="A1:H1"/>
    <mergeCell ref="A2:H2"/>
    <mergeCell ref="A5:H5"/>
    <mergeCell ref="A8:H8"/>
    <mergeCell ref="A11:H11"/>
    <mergeCell ref="A14:H14"/>
    <mergeCell ref="A19:H19"/>
    <mergeCell ref="A23:H23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8"/>
  </cols>
  <sheetData>
    <row r="1" customFormat="false" ht="31.5" hidden="false" customHeight="true" outlineLevel="0" collapsed="false">
      <c r="A1" s="36" t="s">
        <v>157</v>
      </c>
      <c r="B1" s="36"/>
      <c r="C1" s="36"/>
      <c r="D1" s="36"/>
      <c r="E1" s="36"/>
      <c r="F1" s="36"/>
      <c r="G1" s="36"/>
    </row>
    <row r="3" customFormat="false" ht="14.25" hidden="false" customHeight="true" outlineLevel="0" collapsed="false">
      <c r="A3" s="32" t="s">
        <v>158</v>
      </c>
      <c r="B3" s="32"/>
      <c r="C3" s="32"/>
      <c r="D3" s="32"/>
      <c r="E3" s="32"/>
      <c r="F3" s="32"/>
      <c r="G3" s="32"/>
    </row>
    <row r="4" customFormat="false" ht="39.75" hidden="false" customHeight="true" outlineLevel="0" collapsed="false">
      <c r="A4" s="9"/>
      <c r="B4" s="10" t="s">
        <v>159</v>
      </c>
      <c r="C4" s="9" t="s">
        <v>160</v>
      </c>
      <c r="D4" s="9" t="s">
        <v>161</v>
      </c>
      <c r="E4" s="9" t="s">
        <v>162</v>
      </c>
      <c r="F4" s="9" t="s">
        <v>163</v>
      </c>
      <c r="G4" s="9" t="s">
        <v>164</v>
      </c>
    </row>
    <row r="5" customFormat="false" ht="21.75" hidden="false" customHeight="true" outlineLevel="0" collapsed="false">
      <c r="A5" s="11" t="s">
        <v>34</v>
      </c>
      <c r="B5" s="47" t="s">
        <v>165</v>
      </c>
      <c r="C5" s="11" t="s">
        <v>166</v>
      </c>
      <c r="D5" s="11" t="s">
        <v>167</v>
      </c>
      <c r="E5" s="11" t="s">
        <v>168</v>
      </c>
      <c r="F5" s="48"/>
      <c r="G5" s="48"/>
    </row>
    <row r="6" customFormat="false" ht="21.75" hidden="false" customHeight="true" outlineLevel="0" collapsed="false">
      <c r="A6" s="11" t="s">
        <v>37</v>
      </c>
      <c r="B6" s="47" t="s">
        <v>169</v>
      </c>
      <c r="C6" s="35" t="n">
        <v>86.14</v>
      </c>
      <c r="D6" s="35" t="n">
        <v>56.34</v>
      </c>
      <c r="E6" s="35" t="n">
        <v>52.58</v>
      </c>
      <c r="F6" s="49" t="n">
        <f aca="false">1-D6/C6</f>
        <v>0.345948456001857</v>
      </c>
      <c r="G6" s="49" t="n">
        <f aca="false">1-E6/C6</f>
        <v>0.389598328302763</v>
      </c>
    </row>
    <row r="7" customFormat="false" ht="21.75" hidden="false" customHeight="true" outlineLevel="0" collapsed="false">
      <c r="A7" s="11" t="s">
        <v>40</v>
      </c>
      <c r="B7" s="47" t="s">
        <v>170</v>
      </c>
      <c r="C7" s="34" t="n">
        <f aca="false">C6*1499</f>
        <v>129123.86</v>
      </c>
      <c r="D7" s="34" t="n">
        <f aca="false">D6*1499</f>
        <v>84453.66</v>
      </c>
      <c r="E7" s="34" t="n">
        <f aca="false">E6*1499</f>
        <v>78817.42</v>
      </c>
      <c r="F7" s="48"/>
      <c r="G7" s="48"/>
    </row>
    <row r="8" customFormat="false" ht="21.75" hidden="false" customHeight="true" outlineLevel="0" collapsed="false">
      <c r="A8" s="11" t="s">
        <v>43</v>
      </c>
      <c r="B8" s="47" t="s">
        <v>171</v>
      </c>
      <c r="C8" s="34" t="n">
        <f aca="false">C7*12</f>
        <v>1549486.32</v>
      </c>
      <c r="D8" s="34" t="n">
        <f aca="false">D7*12</f>
        <v>1013443.92</v>
      </c>
      <c r="E8" s="34" t="n">
        <f aca="false">E7*12</f>
        <v>945809.04</v>
      </c>
      <c r="F8" s="48"/>
      <c r="G8" s="48"/>
    </row>
    <row r="9" customFormat="false" ht="21.75" hidden="false" customHeight="true" outlineLevel="0" collapsed="false">
      <c r="A9" s="11" t="s">
        <v>46</v>
      </c>
      <c r="B9" s="50" t="s">
        <v>172</v>
      </c>
      <c r="C9" s="11" t="s">
        <v>72</v>
      </c>
      <c r="D9" s="11" t="s">
        <v>72</v>
      </c>
      <c r="E9" s="11" t="s">
        <v>173</v>
      </c>
      <c r="F9" s="48"/>
      <c r="G9" s="48"/>
    </row>
    <row r="11" customFormat="false" ht="14.25" hidden="false" customHeight="true" outlineLevel="0" collapsed="false">
      <c r="A11" s="32" t="s">
        <v>174</v>
      </c>
      <c r="B11" s="32"/>
      <c r="C11" s="32"/>
      <c r="D11" s="32"/>
      <c r="E11" s="32"/>
      <c r="F11" s="32"/>
      <c r="G11" s="32"/>
    </row>
    <row r="12" customFormat="false" ht="39.75" hidden="false" customHeight="true" outlineLevel="0" collapsed="false">
      <c r="A12" s="9"/>
      <c r="B12" s="10" t="s">
        <v>159</v>
      </c>
      <c r="C12" s="9" t="s">
        <v>160</v>
      </c>
      <c r="D12" s="9" t="s">
        <v>161</v>
      </c>
      <c r="E12" s="9" t="s">
        <v>162</v>
      </c>
      <c r="F12" s="9" t="s">
        <v>163</v>
      </c>
      <c r="G12" s="9" t="s">
        <v>164</v>
      </c>
    </row>
    <row r="13" customFormat="false" ht="21.75" hidden="false" customHeight="true" outlineLevel="0" collapsed="false">
      <c r="A13" s="11" t="s">
        <v>34</v>
      </c>
      <c r="B13" s="47" t="s">
        <v>165</v>
      </c>
      <c r="C13" s="11" t="s">
        <v>175</v>
      </c>
      <c r="D13" s="11" t="s">
        <v>176</v>
      </c>
      <c r="E13" s="11" t="s">
        <v>177</v>
      </c>
      <c r="F13" s="48"/>
      <c r="G13" s="48"/>
    </row>
    <row r="14" customFormat="false" ht="21.75" hidden="false" customHeight="true" outlineLevel="0" collapsed="false">
      <c r="A14" s="11" t="s">
        <v>37</v>
      </c>
      <c r="B14" s="47" t="s">
        <v>169</v>
      </c>
      <c r="C14" s="35" t="n">
        <v>159.14</v>
      </c>
      <c r="D14" s="35" t="n">
        <v>114.61</v>
      </c>
      <c r="E14" s="35" t="n">
        <v>98.7</v>
      </c>
      <c r="F14" s="49" t="n">
        <f aca="false">1-D14/C14</f>
        <v>0.279816513761468</v>
      </c>
      <c r="G14" s="49" t="n">
        <f aca="false">1-E14/C14</f>
        <v>0.379791378660299</v>
      </c>
    </row>
    <row r="15" customFormat="false" ht="21.75" hidden="false" customHeight="true" outlineLevel="0" collapsed="false">
      <c r="A15" s="11" t="s">
        <v>40</v>
      </c>
      <c r="B15" s="47" t="s">
        <v>170</v>
      </c>
      <c r="C15" s="34" t="n">
        <f aca="false">C14*1499</f>
        <v>238550.86</v>
      </c>
      <c r="D15" s="34" t="n">
        <f aca="false">D14*1499</f>
        <v>171800.39</v>
      </c>
      <c r="E15" s="34" t="n">
        <f aca="false">E14*1499</f>
        <v>147951.3</v>
      </c>
      <c r="F15" s="48"/>
      <c r="G15" s="48"/>
    </row>
    <row r="16" customFormat="false" ht="21.75" hidden="false" customHeight="true" outlineLevel="0" collapsed="false">
      <c r="A16" s="11" t="s">
        <v>43</v>
      </c>
      <c r="B16" s="47" t="s">
        <v>171</v>
      </c>
      <c r="C16" s="34" t="n">
        <f aca="false">C15*12</f>
        <v>2862610.32</v>
      </c>
      <c r="D16" s="34" t="n">
        <f aca="false">D15*12</f>
        <v>2061604.68</v>
      </c>
      <c r="E16" s="34" t="n">
        <f aca="false">E15*12</f>
        <v>1775415.6</v>
      </c>
      <c r="F16" s="48"/>
      <c r="G16" s="48"/>
    </row>
    <row r="17" customFormat="false" ht="21.75" hidden="false" customHeight="true" outlineLevel="0" collapsed="false">
      <c r="A17" s="11" t="s">
        <v>46</v>
      </c>
      <c r="B17" s="50" t="s">
        <v>172</v>
      </c>
      <c r="C17" s="11" t="s">
        <v>72</v>
      </c>
      <c r="D17" s="11" t="s">
        <v>72</v>
      </c>
      <c r="E17" s="11" t="s">
        <v>178</v>
      </c>
      <c r="F17" s="48"/>
      <c r="G17" s="48"/>
    </row>
    <row r="19" customFormat="false" ht="36" hidden="false" customHeight="true" outlineLevel="0" collapsed="false">
      <c r="A19" s="51" t="s">
        <v>179</v>
      </c>
      <c r="B19" s="51"/>
      <c r="C19" s="51"/>
      <c r="D19" s="51"/>
      <c r="E19" s="51"/>
      <c r="F19" s="51"/>
      <c r="G19" s="51"/>
    </row>
  </sheetData>
  <mergeCells count="4">
    <mergeCell ref="A1:G1"/>
    <mergeCell ref="A3:G3"/>
    <mergeCell ref="A11:G11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5" min="2" style="1" width="22"/>
  </cols>
  <sheetData>
    <row r="1" customFormat="false" ht="31.5" hidden="false" customHeight="true" outlineLevel="0" collapsed="false">
      <c r="A1" s="36" t="s">
        <v>180</v>
      </c>
      <c r="B1" s="36"/>
      <c r="C1" s="36"/>
      <c r="D1" s="36"/>
      <c r="E1" s="36"/>
    </row>
    <row r="3" customFormat="false" ht="24" hidden="false" customHeight="true" outlineLevel="0" collapsed="false">
      <c r="A3" s="52" t="s">
        <v>181</v>
      </c>
      <c r="B3" s="53"/>
      <c r="C3" s="53"/>
      <c r="D3" s="53"/>
      <c r="E3" s="53"/>
    </row>
    <row r="4" customFormat="false" ht="37.5" hidden="false" customHeight="true" outlineLevel="0" collapsed="false">
      <c r="A4" s="54"/>
      <c r="B4" s="55" t="s">
        <v>182</v>
      </c>
      <c r="C4" s="15" t="s">
        <v>183</v>
      </c>
      <c r="D4" s="15" t="s">
        <v>184</v>
      </c>
      <c r="E4" s="11"/>
    </row>
    <row r="6" customFormat="false" ht="24" hidden="false" customHeight="true" outlineLevel="0" collapsed="false">
      <c r="A6" s="52" t="s">
        <v>185</v>
      </c>
      <c r="B6" s="53"/>
      <c r="C6" s="53"/>
      <c r="D6" s="53"/>
      <c r="E6" s="53"/>
    </row>
    <row r="7" customFormat="false" ht="37.5" hidden="false" customHeight="true" outlineLevel="0" collapsed="false">
      <c r="A7" s="54"/>
      <c r="B7" s="15" t="s">
        <v>186</v>
      </c>
      <c r="C7" s="15" t="s">
        <v>187</v>
      </c>
      <c r="D7" s="15" t="s">
        <v>188</v>
      </c>
      <c r="E7" s="15" t="s">
        <v>189</v>
      </c>
    </row>
    <row r="9" customFormat="false" ht="24" hidden="false" customHeight="true" outlineLevel="0" collapsed="false">
      <c r="A9" s="52" t="s">
        <v>190</v>
      </c>
      <c r="B9" s="53"/>
      <c r="C9" s="53"/>
      <c r="D9" s="53"/>
      <c r="E9" s="53"/>
    </row>
    <row r="10" customFormat="false" ht="37.5" hidden="false" customHeight="true" outlineLevel="0" collapsed="false">
      <c r="A10" s="54"/>
      <c r="B10" s="15" t="s">
        <v>191</v>
      </c>
      <c r="C10" s="11"/>
      <c r="D10" s="11"/>
      <c r="E10" s="11"/>
    </row>
    <row r="12" customFormat="false" ht="24" hidden="false" customHeight="true" outlineLevel="0" collapsed="false">
      <c r="A12" s="52" t="s">
        <v>7</v>
      </c>
      <c r="B12" s="53"/>
      <c r="C12" s="53"/>
      <c r="D12" s="53"/>
      <c r="E12" s="53"/>
    </row>
    <row r="13" customFormat="false" ht="37.5" hidden="false" customHeight="true" outlineLevel="0" collapsed="false">
      <c r="A13" s="54"/>
      <c r="B13" s="15" t="s">
        <v>192</v>
      </c>
      <c r="C13" s="15" t="s">
        <v>193</v>
      </c>
      <c r="D13" s="11"/>
      <c r="E13" s="11"/>
    </row>
    <row r="15" customFormat="false" ht="24" hidden="false" customHeight="true" outlineLevel="0" collapsed="false">
      <c r="A15" s="52" t="s">
        <v>194</v>
      </c>
      <c r="B15" s="53"/>
      <c r="C15" s="53"/>
      <c r="D15" s="53"/>
      <c r="E15" s="53"/>
    </row>
    <row r="16" customFormat="false" ht="37.5" hidden="false" customHeight="true" outlineLevel="0" collapsed="false">
      <c r="A16" s="54"/>
      <c r="B16" s="15" t="s">
        <v>195</v>
      </c>
      <c r="C16" s="15" t="s">
        <v>196</v>
      </c>
      <c r="D16" s="11"/>
      <c r="E16" s="11"/>
    </row>
    <row r="18" customFormat="false" ht="24" hidden="false" customHeight="true" outlineLevel="0" collapsed="false">
      <c r="A18" s="52" t="s">
        <v>17</v>
      </c>
      <c r="B18" s="53"/>
      <c r="C18" s="53"/>
      <c r="D18" s="53"/>
      <c r="E18" s="53"/>
    </row>
    <row r="19" customFormat="false" ht="37.5" hidden="false" customHeight="true" outlineLevel="0" collapsed="false">
      <c r="A19" s="54"/>
      <c r="B19" s="15" t="s">
        <v>197</v>
      </c>
      <c r="C19" s="15" t="s">
        <v>198</v>
      </c>
      <c r="D19" s="11"/>
      <c r="E19" s="11"/>
    </row>
    <row r="21" customFormat="false" ht="24" hidden="false" customHeight="true" outlineLevel="0" collapsed="false">
      <c r="A21" s="52" t="s">
        <v>199</v>
      </c>
      <c r="B21" s="53"/>
      <c r="C21" s="53"/>
      <c r="D21" s="53"/>
      <c r="E21" s="53"/>
    </row>
    <row r="22" customFormat="false" ht="37.5" hidden="false" customHeight="true" outlineLevel="0" collapsed="false">
      <c r="A22" s="54"/>
      <c r="B22" s="15" t="s">
        <v>200</v>
      </c>
      <c r="C22" s="15" t="s">
        <v>201</v>
      </c>
      <c r="D22" s="15" t="s">
        <v>202</v>
      </c>
      <c r="E22" s="15" t="s">
        <v>203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FA2"/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28"/>
  </cols>
  <sheetData>
    <row r="1" customFormat="false" ht="36" hidden="false" customHeight="true" outlineLevel="0" collapsed="false">
      <c r="A1" s="56" t="s">
        <v>204</v>
      </c>
      <c r="B1" s="56"/>
      <c r="C1" s="56"/>
      <c r="D1" s="56"/>
      <c r="E1" s="56"/>
      <c r="F1" s="56"/>
    </row>
    <row r="2" customFormat="false" ht="21.75" hidden="false" customHeight="true" outlineLevel="0" collapsed="false">
      <c r="A2" s="57" t="s">
        <v>205</v>
      </c>
      <c r="B2" s="57"/>
      <c r="C2" s="57"/>
      <c r="D2" s="57"/>
      <c r="E2" s="57"/>
      <c r="F2" s="57"/>
    </row>
    <row r="4" customFormat="false" ht="14.9" hidden="false" customHeight="false" outlineLevel="0" collapsed="false">
      <c r="A4" s="58" t="s">
        <v>206</v>
      </c>
      <c r="B4" s="58"/>
      <c r="C4" s="58"/>
      <c r="D4" s="58"/>
      <c r="E4" s="58"/>
      <c r="F4" s="58"/>
    </row>
    <row r="5" customFormat="false" ht="21.75" hidden="false" customHeight="true" outlineLevel="0" collapsed="false">
      <c r="B5" s="59" t="s">
        <v>207</v>
      </c>
      <c r="C5" s="6" t="s">
        <v>208</v>
      </c>
      <c r="D5" s="6"/>
      <c r="E5" s="6"/>
      <c r="F5" s="6"/>
    </row>
    <row r="6" customFormat="false" ht="21.75" hidden="false" customHeight="true" outlineLevel="0" collapsed="false">
      <c r="B6" s="60" t="s">
        <v>209</v>
      </c>
      <c r="C6" s="6" t="s">
        <v>210</v>
      </c>
      <c r="D6" s="6"/>
      <c r="E6" s="6"/>
      <c r="F6" s="6"/>
    </row>
    <row r="7" customFormat="false" ht="21.75" hidden="false" customHeight="true" outlineLevel="0" collapsed="false">
      <c r="B7" s="59" t="s">
        <v>211</v>
      </c>
      <c r="C7" s="6" t="s">
        <v>212</v>
      </c>
      <c r="D7" s="6"/>
      <c r="E7" s="6"/>
      <c r="F7" s="6"/>
    </row>
    <row r="8" customFormat="false" ht="21.75" hidden="false" customHeight="true" outlineLevel="0" collapsed="false">
      <c r="B8" s="60" t="s">
        <v>213</v>
      </c>
      <c r="C8" s="6" t="s">
        <v>214</v>
      </c>
      <c r="D8" s="6"/>
      <c r="E8" s="6"/>
      <c r="F8" s="6"/>
    </row>
    <row r="9" customFormat="false" ht="21.75" hidden="false" customHeight="true" outlineLevel="0" collapsed="false">
      <c r="B9" s="59" t="s">
        <v>215</v>
      </c>
      <c r="C9" s="6" t="s">
        <v>216</v>
      </c>
      <c r="D9" s="6"/>
      <c r="E9" s="6"/>
      <c r="F9" s="6"/>
    </row>
    <row r="10" customFormat="false" ht="21.75" hidden="false" customHeight="true" outlineLevel="0" collapsed="false">
      <c r="B10" s="60" t="s">
        <v>217</v>
      </c>
      <c r="C10" s="6" t="s">
        <v>218</v>
      </c>
      <c r="D10" s="6"/>
      <c r="E10" s="6"/>
      <c r="F10" s="6"/>
    </row>
    <row r="11" customFormat="false" ht="21.75" hidden="false" customHeight="true" outlineLevel="0" collapsed="false">
      <c r="B11" s="60" t="s">
        <v>219</v>
      </c>
      <c r="C11" s="6" t="s">
        <v>220</v>
      </c>
      <c r="D11" s="6"/>
      <c r="E11" s="6"/>
      <c r="F11" s="6"/>
    </row>
    <row r="12" customFormat="false" ht="21.75" hidden="false" customHeight="true" outlineLevel="0" collapsed="false">
      <c r="B12" s="60" t="s">
        <v>221</v>
      </c>
      <c r="C12" s="6" t="s">
        <v>222</v>
      </c>
      <c r="D12" s="6"/>
      <c r="E12" s="6"/>
      <c r="F12" s="6"/>
    </row>
    <row r="13" customFormat="false" ht="21.75" hidden="false" customHeight="true" outlineLevel="0" collapsed="false">
      <c r="B13" s="59" t="s">
        <v>223</v>
      </c>
      <c r="C13" s="6" t="s">
        <v>224</v>
      </c>
      <c r="D13" s="6"/>
      <c r="E13" s="6"/>
      <c r="F13" s="6"/>
    </row>
    <row r="15" customFormat="false" ht="14.9" hidden="false" customHeight="false" outlineLevel="0" collapsed="false">
      <c r="A15" s="58" t="s">
        <v>225</v>
      </c>
      <c r="B15" s="58"/>
      <c r="C15" s="58"/>
      <c r="D15" s="58"/>
      <c r="E15" s="58"/>
      <c r="F15" s="58"/>
    </row>
    <row r="16" customFormat="false" ht="27.75" hidden="false" customHeight="true" outlineLevel="0" collapsed="false">
      <c r="A16" s="9" t="s">
        <v>88</v>
      </c>
      <c r="B16" s="10" t="s">
        <v>159</v>
      </c>
      <c r="C16" s="10" t="s">
        <v>226</v>
      </c>
      <c r="D16" s="10" t="s">
        <v>227</v>
      </c>
      <c r="E16" s="10" t="s">
        <v>228</v>
      </c>
      <c r="F16" s="10" t="s">
        <v>33</v>
      </c>
    </row>
    <row r="17" customFormat="false" ht="30" hidden="false" customHeight="true" outlineLevel="0" collapsed="false">
      <c r="A17" s="11" t="s">
        <v>34</v>
      </c>
      <c r="B17" s="61" t="s">
        <v>229</v>
      </c>
      <c r="C17" s="12" t="s">
        <v>230</v>
      </c>
      <c r="D17" s="62" t="n">
        <v>1870000</v>
      </c>
      <c r="E17" s="63" t="n">
        <f aca="false">D17/1499</f>
        <v>1247.49833222148</v>
      </c>
      <c r="F17" s="14" t="s">
        <v>231</v>
      </c>
    </row>
    <row r="18" customFormat="false" ht="30" hidden="false" customHeight="true" outlineLevel="0" collapsed="false">
      <c r="A18" s="11" t="s">
        <v>37</v>
      </c>
      <c r="B18" s="61" t="s">
        <v>232</v>
      </c>
      <c r="C18" s="12" t="s">
        <v>233</v>
      </c>
      <c r="D18" s="62" t="n">
        <v>120000</v>
      </c>
      <c r="E18" s="63" t="n">
        <f aca="false">D18/1499</f>
        <v>80.0533689126084</v>
      </c>
      <c r="F18" s="14" t="s">
        <v>234</v>
      </c>
    </row>
    <row r="19" customFormat="false" ht="21.75" hidden="false" customHeight="true" outlineLevel="0" collapsed="false">
      <c r="A19" s="11" t="s">
        <v>40</v>
      </c>
      <c r="B19" s="64" t="s">
        <v>235</v>
      </c>
      <c r="C19" s="12" t="s">
        <v>236</v>
      </c>
      <c r="D19" s="62" t="n">
        <v>200000</v>
      </c>
      <c r="E19" s="63" t="n">
        <f aca="false">D19/1499</f>
        <v>133.422281521014</v>
      </c>
      <c r="F19" s="14" t="s">
        <v>237</v>
      </c>
    </row>
    <row r="20" customFormat="false" ht="30" hidden="false" customHeight="true" outlineLevel="0" collapsed="false">
      <c r="A20" s="11" t="s">
        <v>43</v>
      </c>
      <c r="B20" s="61" t="s">
        <v>238</v>
      </c>
      <c r="C20" s="12" t="s">
        <v>239</v>
      </c>
      <c r="D20" s="62" t="n">
        <v>360000</v>
      </c>
      <c r="E20" s="63" t="n">
        <f aca="false">D20/1499</f>
        <v>240.160106737825</v>
      </c>
      <c r="F20" s="14" t="s">
        <v>240</v>
      </c>
    </row>
    <row r="21" customFormat="false" ht="30" hidden="false" customHeight="true" outlineLevel="0" collapsed="false">
      <c r="A21" s="11" t="s">
        <v>46</v>
      </c>
      <c r="B21" s="61" t="s">
        <v>241</v>
      </c>
      <c r="C21" s="12" t="s">
        <v>242</v>
      </c>
      <c r="D21" s="62" t="n">
        <v>130000</v>
      </c>
      <c r="E21" s="63" t="n">
        <f aca="false">D21/1499</f>
        <v>86.7244829886591</v>
      </c>
      <c r="F21" s="14" t="s">
        <v>146</v>
      </c>
    </row>
    <row r="22" customFormat="false" ht="30" hidden="false" customHeight="true" outlineLevel="0" collapsed="false">
      <c r="A22" s="11" t="s">
        <v>49</v>
      </c>
      <c r="B22" s="64" t="s">
        <v>243</v>
      </c>
      <c r="C22" s="12" t="s">
        <v>244</v>
      </c>
      <c r="D22" s="62" t="n">
        <v>350000</v>
      </c>
      <c r="E22" s="63" t="n">
        <f aca="false">D22/1499</f>
        <v>233.488992661775</v>
      </c>
      <c r="F22" s="19" t="s">
        <v>245</v>
      </c>
    </row>
    <row r="23" customFormat="false" ht="30" hidden="false" customHeight="true" outlineLevel="0" collapsed="false">
      <c r="A23" s="11" t="s">
        <v>52</v>
      </c>
      <c r="B23" s="61" t="s">
        <v>246</v>
      </c>
      <c r="C23" s="12" t="s">
        <v>247</v>
      </c>
      <c r="D23" s="62" t="n">
        <v>400000</v>
      </c>
      <c r="E23" s="63" t="n">
        <f aca="false">D23/1499</f>
        <v>266.844563042028</v>
      </c>
      <c r="F23" s="14" t="s">
        <v>248</v>
      </c>
    </row>
    <row r="24" customFormat="false" ht="30" hidden="false" customHeight="true" outlineLevel="0" collapsed="false">
      <c r="A24" s="11" t="s">
        <v>55</v>
      </c>
      <c r="B24" s="64" t="s">
        <v>249</v>
      </c>
      <c r="C24" s="12" t="s">
        <v>250</v>
      </c>
      <c r="D24" s="62" t="n">
        <v>0</v>
      </c>
      <c r="E24" s="63" t="n">
        <f aca="false">D24/1499</f>
        <v>0</v>
      </c>
      <c r="F24" s="19" t="s">
        <v>251</v>
      </c>
    </row>
    <row r="25" customFormat="false" ht="30" hidden="false" customHeight="true" outlineLevel="0" collapsed="false">
      <c r="A25" s="11" t="s">
        <v>58</v>
      </c>
      <c r="B25" s="64" t="s">
        <v>252</v>
      </c>
      <c r="C25" s="12" t="s">
        <v>253</v>
      </c>
      <c r="D25" s="62" t="n">
        <v>0</v>
      </c>
      <c r="E25" s="63" t="n">
        <f aca="false">D25/1499</f>
        <v>0</v>
      </c>
      <c r="F25" s="14" t="s">
        <v>254</v>
      </c>
    </row>
    <row r="26" customFormat="false" ht="30" hidden="false" customHeight="true" outlineLevel="0" collapsed="false">
      <c r="A26" s="11" t="s">
        <v>61</v>
      </c>
      <c r="B26" s="61" t="s">
        <v>255</v>
      </c>
      <c r="C26" s="39" t="s">
        <v>256</v>
      </c>
      <c r="D26" s="62" t="n">
        <v>500000</v>
      </c>
      <c r="E26" s="63" t="n">
        <f aca="false">D26/1499</f>
        <v>333.555703802535</v>
      </c>
      <c r="F26" s="14" t="s">
        <v>257</v>
      </c>
    </row>
    <row r="27" customFormat="false" ht="15" hidden="false" customHeight="false" outlineLevel="0" collapsed="false">
      <c r="A27" s="65"/>
      <c r="B27" s="66" t="s">
        <v>258</v>
      </c>
      <c r="C27" s="65"/>
      <c r="D27" s="67" t="n">
        <f aca="false">SUM(D17:D26)</f>
        <v>3930000</v>
      </c>
      <c r="E27" s="68" t="n">
        <f aca="false">D27/1499</f>
        <v>2621.74783188793</v>
      </c>
      <c r="F27" s="65"/>
    </row>
    <row r="29" customFormat="false" ht="15" hidden="false" customHeight="false" outlineLevel="0" collapsed="false">
      <c r="A29" s="58" t="s">
        <v>259</v>
      </c>
      <c r="B29" s="58"/>
      <c r="C29" s="58"/>
      <c r="D29" s="58"/>
      <c r="E29" s="58"/>
      <c r="F29" s="58"/>
    </row>
    <row r="30" customFormat="false" ht="27.75" hidden="false" customHeight="true" outlineLevel="0" collapsed="false">
      <c r="A30" s="9" t="s">
        <v>88</v>
      </c>
      <c r="B30" s="10" t="s">
        <v>159</v>
      </c>
      <c r="C30" s="10" t="s">
        <v>226</v>
      </c>
      <c r="D30" s="10" t="s">
        <v>227</v>
      </c>
      <c r="E30" s="10" t="s">
        <v>228</v>
      </c>
      <c r="F30" s="10" t="s">
        <v>33</v>
      </c>
    </row>
    <row r="31" customFormat="false" ht="30" hidden="false" customHeight="true" outlineLevel="0" collapsed="false">
      <c r="A31" s="11" t="s">
        <v>34</v>
      </c>
      <c r="B31" s="61" t="s">
        <v>260</v>
      </c>
      <c r="C31" s="39" t="s">
        <v>261</v>
      </c>
      <c r="D31" s="62" t="n">
        <v>20000</v>
      </c>
      <c r="E31" s="63" t="n">
        <f aca="false">D31/1499</f>
        <v>13.3422281521014</v>
      </c>
      <c r="F31" s="14" t="s">
        <v>262</v>
      </c>
    </row>
    <row r="32" customFormat="false" ht="30" hidden="false" customHeight="true" outlineLevel="0" collapsed="false">
      <c r="A32" s="11" t="s">
        <v>37</v>
      </c>
      <c r="B32" s="61" t="s">
        <v>263</v>
      </c>
      <c r="C32" s="39" t="s">
        <v>264</v>
      </c>
      <c r="D32" s="62" t="n">
        <v>55000</v>
      </c>
      <c r="E32" s="63" t="n">
        <f aca="false">D32/1499</f>
        <v>36.6911274182789</v>
      </c>
      <c r="F32" s="19" t="s">
        <v>265</v>
      </c>
    </row>
    <row r="33" customFormat="false" ht="21.75" hidden="false" customHeight="true" outlineLevel="0" collapsed="false">
      <c r="A33" s="11" t="s">
        <v>40</v>
      </c>
      <c r="B33" s="61" t="s">
        <v>266</v>
      </c>
      <c r="C33" s="39" t="s">
        <v>267</v>
      </c>
      <c r="D33" s="62" t="n">
        <v>2000</v>
      </c>
      <c r="E33" s="63" t="n">
        <f aca="false">D33/1499</f>
        <v>1.33422281521014</v>
      </c>
      <c r="F33" s="14" t="s">
        <v>268</v>
      </c>
    </row>
    <row r="34" customFormat="false" ht="30" hidden="false" customHeight="true" outlineLevel="0" collapsed="false">
      <c r="A34" s="11" t="s">
        <v>43</v>
      </c>
      <c r="B34" s="61" t="s">
        <v>269</v>
      </c>
      <c r="C34" s="39" t="s">
        <v>270</v>
      </c>
      <c r="D34" s="62" t="n">
        <v>33000</v>
      </c>
      <c r="E34" s="63" t="n">
        <f aca="false">D34/1499</f>
        <v>22.0146764509673</v>
      </c>
      <c r="F34" s="14" t="s">
        <v>271</v>
      </c>
    </row>
    <row r="35" customFormat="false" ht="30" hidden="false" customHeight="true" outlineLevel="0" collapsed="false">
      <c r="A35" s="11" t="s">
        <v>46</v>
      </c>
      <c r="B35" s="61" t="s">
        <v>272</v>
      </c>
      <c r="C35" s="39" t="s">
        <v>273</v>
      </c>
      <c r="D35" s="62" t="n">
        <v>0</v>
      </c>
      <c r="E35" s="63" t="n">
        <f aca="false">D35/1499</f>
        <v>0</v>
      </c>
      <c r="F35" s="14" t="s">
        <v>274</v>
      </c>
    </row>
    <row r="36" customFormat="false" ht="21.75" hidden="false" customHeight="true" outlineLevel="0" collapsed="false">
      <c r="A36" s="11" t="s">
        <v>49</v>
      </c>
      <c r="B36" s="61" t="s">
        <v>275</v>
      </c>
      <c r="C36" s="12" t="s">
        <v>276</v>
      </c>
      <c r="D36" s="62" t="n">
        <v>0</v>
      </c>
      <c r="E36" s="63" t="n">
        <f aca="false">D36/1499</f>
        <v>0</v>
      </c>
      <c r="F36" s="14" t="s">
        <v>277</v>
      </c>
    </row>
    <row r="37" customFormat="false" ht="30" hidden="false" customHeight="true" outlineLevel="0" collapsed="false">
      <c r="A37" s="11" t="s">
        <v>52</v>
      </c>
      <c r="B37" s="61" t="s">
        <v>278</v>
      </c>
      <c r="C37" s="12" t="s">
        <v>279</v>
      </c>
      <c r="D37" s="62" t="n">
        <v>0</v>
      </c>
      <c r="E37" s="63" t="n">
        <f aca="false">D37/1499</f>
        <v>0</v>
      </c>
      <c r="F37" s="14" t="s">
        <v>280</v>
      </c>
    </row>
    <row r="38" customFormat="false" ht="15" hidden="false" customHeight="false" outlineLevel="0" collapsed="false">
      <c r="A38" s="65"/>
      <c r="B38" s="66" t="s">
        <v>281</v>
      </c>
      <c r="C38" s="65"/>
      <c r="D38" s="67" t="n">
        <f aca="false">SUM(D31:D37)</f>
        <v>110000</v>
      </c>
      <c r="E38" s="68" t="n">
        <f aca="false">D38/1499</f>
        <v>73.3822548365577</v>
      </c>
      <c r="F38" s="65"/>
    </row>
  </sheetData>
  <mergeCells count="14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A15:F15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6" min="3" style="0" width="18"/>
  </cols>
  <sheetData>
    <row r="1" customFormat="false" ht="36" hidden="false" customHeight="true" outlineLevel="0" collapsed="false">
      <c r="A1" s="36" t="s">
        <v>282</v>
      </c>
      <c r="B1" s="36"/>
      <c r="C1" s="36"/>
      <c r="D1" s="36"/>
      <c r="E1" s="36"/>
      <c r="F1" s="36"/>
    </row>
    <row r="2" customFormat="false" ht="21.75" hidden="false" customHeight="true" outlineLevel="0" collapsed="false">
      <c r="A2" s="3" t="s">
        <v>283</v>
      </c>
      <c r="B2" s="3"/>
      <c r="C2" s="3"/>
      <c r="D2" s="3"/>
      <c r="E2" s="3"/>
      <c r="F2" s="3"/>
    </row>
    <row r="4" customFormat="false" ht="14.9" hidden="false" customHeight="false" outlineLevel="0" collapsed="false">
      <c r="A4" s="58" t="s">
        <v>284</v>
      </c>
      <c r="B4" s="58"/>
      <c r="C4" s="58"/>
      <c r="D4" s="58"/>
      <c r="E4" s="58"/>
      <c r="F4" s="58"/>
    </row>
    <row r="5" customFormat="false" ht="39.75" hidden="false" customHeight="true" outlineLevel="0" collapsed="false">
      <c r="A5" s="9"/>
      <c r="B5" s="10" t="s">
        <v>29</v>
      </c>
      <c r="C5" s="10" t="s">
        <v>285</v>
      </c>
      <c r="D5" s="9" t="s">
        <v>286</v>
      </c>
      <c r="E5" s="9" t="s">
        <v>287</v>
      </c>
      <c r="F5" s="9" t="s">
        <v>288</v>
      </c>
    </row>
    <row r="6" customFormat="false" ht="21.75" hidden="false" customHeight="true" outlineLevel="0" collapsed="false">
      <c r="A6" s="11" t="s">
        <v>34</v>
      </c>
      <c r="B6" s="69" t="s">
        <v>289</v>
      </c>
      <c r="C6" s="62" t="n">
        <v>3930000</v>
      </c>
      <c r="D6" s="70" t="n">
        <v>0</v>
      </c>
      <c r="E6" s="70" t="n">
        <v>0</v>
      </c>
      <c r="F6" s="62" t="n">
        <v>2721225</v>
      </c>
    </row>
    <row r="7" customFormat="false" ht="21.75" hidden="false" customHeight="true" outlineLevel="0" collapsed="false">
      <c r="A7" s="15" t="s">
        <v>37</v>
      </c>
      <c r="B7" s="71" t="s">
        <v>290</v>
      </c>
      <c r="C7" s="72" t="n">
        <v>110000</v>
      </c>
      <c r="D7" s="72" t="n">
        <v>503754</v>
      </c>
      <c r="E7" s="72" t="n">
        <v>389605</v>
      </c>
      <c r="F7" s="72" t="n">
        <v>136079</v>
      </c>
    </row>
    <row r="8" customFormat="false" ht="25.5" hidden="false" customHeight="true" outlineLevel="0" collapsed="false">
      <c r="A8" s="73" t="s">
        <v>40</v>
      </c>
      <c r="B8" s="74" t="s">
        <v>291</v>
      </c>
      <c r="C8" s="67" t="n">
        <f aca="false">C6+C7*12</f>
        <v>5250000</v>
      </c>
      <c r="D8" s="67" t="n">
        <f aca="false">D6+D7*12</f>
        <v>6045048</v>
      </c>
      <c r="E8" s="67" t="n">
        <f aca="false">E6+E7*12</f>
        <v>4675260</v>
      </c>
      <c r="F8" s="67" t="n">
        <f aca="false">F6+F7*12</f>
        <v>4354173</v>
      </c>
    </row>
    <row r="9" customFormat="false" ht="25.5" hidden="false" customHeight="true" outlineLevel="0" collapsed="false">
      <c r="A9" s="73" t="s">
        <v>43</v>
      </c>
      <c r="B9" s="74" t="s">
        <v>292</v>
      </c>
      <c r="C9" s="67" t="n">
        <f aca="false">C6+C7*36</f>
        <v>7890000</v>
      </c>
      <c r="D9" s="67" t="n">
        <f aca="false">D7*36</f>
        <v>18135144</v>
      </c>
      <c r="E9" s="67" t="n">
        <f aca="false">E7*36</f>
        <v>14025780</v>
      </c>
      <c r="F9" s="67" t="n">
        <f aca="false">F6*3+F7*36</f>
        <v>13062519</v>
      </c>
    </row>
    <row r="10" customFormat="false" ht="30" hidden="false" customHeight="true" outlineLevel="0" collapsed="false">
      <c r="A10" s="75" t="s">
        <v>46</v>
      </c>
      <c r="B10" s="76" t="s">
        <v>293</v>
      </c>
      <c r="C10" s="77" t="n">
        <f aca="false">C6*2+C7*60</f>
        <v>14460000</v>
      </c>
      <c r="D10" s="77" t="n">
        <f aca="false">D7*60</f>
        <v>30225240</v>
      </c>
      <c r="E10" s="77" t="n">
        <f aca="false">E7*60</f>
        <v>23376300</v>
      </c>
      <c r="F10" s="77" t="n">
        <f aca="false">F6*5+F7*60</f>
        <v>21770865</v>
      </c>
    </row>
    <row r="12" customFormat="false" ht="15" hidden="false" customHeight="false" outlineLevel="0" collapsed="false">
      <c r="A12" s="58" t="s">
        <v>294</v>
      </c>
      <c r="B12" s="58"/>
      <c r="C12" s="58"/>
      <c r="D12" s="58"/>
      <c r="E12" s="58"/>
      <c r="F12" s="58"/>
    </row>
    <row r="13" customFormat="false" ht="27.75" hidden="false" customHeight="true" outlineLevel="0" collapsed="false">
      <c r="A13" s="9"/>
      <c r="B13" s="10" t="s">
        <v>295</v>
      </c>
      <c r="C13" s="10" t="s">
        <v>285</v>
      </c>
      <c r="D13" s="10"/>
      <c r="E13" s="9" t="s">
        <v>296</v>
      </c>
      <c r="F13" s="9"/>
    </row>
    <row r="14" customFormat="false" ht="24" hidden="false" customHeight="true" outlineLevel="0" collapsed="false">
      <c r="A14" s="11" t="s">
        <v>34</v>
      </c>
      <c r="B14" s="78" t="s">
        <v>297</v>
      </c>
      <c r="C14" s="79" t="s">
        <v>298</v>
      </c>
      <c r="D14" s="79"/>
      <c r="E14" s="79" t="s">
        <v>299</v>
      </c>
      <c r="F14" s="79"/>
    </row>
    <row r="15" customFormat="false" ht="24" hidden="false" customHeight="true" outlineLevel="0" collapsed="false">
      <c r="A15" s="15" t="s">
        <v>37</v>
      </c>
      <c r="B15" s="80" t="s">
        <v>300</v>
      </c>
      <c r="C15" s="55" t="s">
        <v>301</v>
      </c>
      <c r="D15" s="55"/>
      <c r="E15" s="55" t="s">
        <v>302</v>
      </c>
      <c r="F15" s="55"/>
    </row>
    <row r="16" customFormat="false" ht="24" hidden="false" customHeight="true" outlineLevel="0" collapsed="false">
      <c r="A16" s="11" t="s">
        <v>40</v>
      </c>
      <c r="B16" s="78" t="s">
        <v>303</v>
      </c>
      <c r="C16" s="79" t="s">
        <v>304</v>
      </c>
      <c r="D16" s="79"/>
      <c r="E16" s="79" t="s">
        <v>305</v>
      </c>
      <c r="F16" s="79"/>
    </row>
    <row r="17" customFormat="false" ht="24" hidden="false" customHeight="true" outlineLevel="0" collapsed="false">
      <c r="A17" s="15" t="s">
        <v>43</v>
      </c>
      <c r="B17" s="80" t="s">
        <v>306</v>
      </c>
      <c r="C17" s="55" t="s">
        <v>307</v>
      </c>
      <c r="D17" s="55"/>
      <c r="E17" s="15" t="s">
        <v>308</v>
      </c>
      <c r="F17" s="15"/>
    </row>
    <row r="18" customFormat="false" ht="24" hidden="false" customHeight="true" outlineLevel="0" collapsed="false">
      <c r="A18" s="11" t="s">
        <v>46</v>
      </c>
      <c r="B18" s="78" t="s">
        <v>309</v>
      </c>
      <c r="C18" s="79" t="s">
        <v>310</v>
      </c>
      <c r="D18" s="79"/>
      <c r="E18" s="79" t="s">
        <v>311</v>
      </c>
      <c r="F18" s="79"/>
    </row>
    <row r="19" customFormat="false" ht="24" hidden="false" customHeight="true" outlineLevel="0" collapsed="false">
      <c r="A19" s="15" t="s">
        <v>49</v>
      </c>
      <c r="B19" s="80" t="s">
        <v>312</v>
      </c>
      <c r="C19" s="55" t="s">
        <v>313</v>
      </c>
      <c r="D19" s="55"/>
      <c r="E19" s="15" t="s">
        <v>314</v>
      </c>
      <c r="F19" s="15"/>
    </row>
    <row r="20" customFormat="false" ht="24" hidden="false" customHeight="true" outlineLevel="0" collapsed="false">
      <c r="A20" s="11" t="s">
        <v>52</v>
      </c>
      <c r="B20" s="78" t="s">
        <v>315</v>
      </c>
      <c r="C20" s="79" t="s">
        <v>316</v>
      </c>
      <c r="D20" s="79"/>
      <c r="E20" s="79" t="s">
        <v>317</v>
      </c>
      <c r="F20" s="79"/>
    </row>
    <row r="21" customFormat="false" ht="24" hidden="false" customHeight="true" outlineLevel="0" collapsed="false">
      <c r="A21" s="15" t="s">
        <v>55</v>
      </c>
      <c r="B21" s="80" t="s">
        <v>318</v>
      </c>
      <c r="C21" s="55" t="s">
        <v>319</v>
      </c>
      <c r="D21" s="55"/>
      <c r="E21" s="15" t="s">
        <v>320</v>
      </c>
      <c r="F21" s="15"/>
    </row>
    <row r="22" customFormat="false" ht="24" hidden="false" customHeight="true" outlineLevel="0" collapsed="false">
      <c r="A22" s="11" t="s">
        <v>58</v>
      </c>
      <c r="B22" s="78" t="s">
        <v>321</v>
      </c>
      <c r="C22" s="11" t="s">
        <v>322</v>
      </c>
      <c r="D22" s="11"/>
      <c r="E22" s="79" t="s">
        <v>323</v>
      </c>
      <c r="F22" s="79"/>
    </row>
    <row r="23" customFormat="false" ht="24" hidden="false" customHeight="true" outlineLevel="0" collapsed="false">
      <c r="A23" s="15" t="s">
        <v>61</v>
      </c>
      <c r="B23" s="80" t="s">
        <v>324</v>
      </c>
      <c r="C23" s="55" t="s">
        <v>325</v>
      </c>
      <c r="D23" s="55"/>
      <c r="E23" s="55" t="s">
        <v>326</v>
      </c>
      <c r="F23" s="55"/>
    </row>
    <row r="25" customFormat="false" ht="36" hidden="false" customHeight="true" outlineLevel="0" collapsed="false">
      <c r="A25" s="81" t="s">
        <v>327</v>
      </c>
      <c r="B25" s="81"/>
      <c r="C25" s="81"/>
      <c r="D25" s="81"/>
      <c r="E25" s="81"/>
      <c r="F25" s="81"/>
    </row>
  </sheetData>
  <mergeCells count="27">
    <mergeCell ref="A1:F1"/>
    <mergeCell ref="A2:F2"/>
    <mergeCell ref="A4:F4"/>
    <mergeCell ref="A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2026-03-25T06:31:23Z</dcterms:created>
  <dc:creator>openpyxl</dc:creator>
  <dc:description/>
  <dc:language>en-US</dc:language>
  <cp:lastModifiedBy/>
  <dcterms:modified xsi:type="dcterms:W3CDTF">2026-03-25T08:07:31Z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